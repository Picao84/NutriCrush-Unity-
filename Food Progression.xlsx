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utri Mayhem\NutriCrush-Unity-\"/>
    </mc:Choice>
  </mc:AlternateContent>
  <xr:revisionPtr revIDLastSave="0" documentId="13_ncr:1_{B4A05476-2CE2-473D-9352-44E9549ACBF4}" xr6:coauthVersionLast="47" xr6:coauthVersionMax="47" xr10:uidLastSave="{00000000-0000-0000-0000-000000000000}"/>
  <bookViews>
    <workbookView xWindow="57480" yWindow="-120" windowWidth="29040" windowHeight="15840" activeTab="1" xr2:uid="{3A71858E-782A-488A-BF56-898FF2A6D53B}"/>
  </bookViews>
  <sheets>
    <sheet name="Food" sheetId="1" r:id="rId1"/>
    <sheet name="Progression" sheetId="2" r:id="rId2"/>
  </sheets>
  <definedNames>
    <definedName name="_xlnm._FilterDatabase" localSheetId="0" hidden="1">Food!$A$1:$K$46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6" i="1" l="1"/>
  <c r="I76" i="1"/>
  <c r="N76" i="1"/>
  <c r="M76" i="1"/>
  <c r="L76" i="1"/>
  <c r="K76" i="1"/>
  <c r="J76" i="1"/>
</calcChain>
</file>

<file path=xl/sharedStrings.xml><?xml version="1.0" encoding="utf-8"?>
<sst xmlns="http://schemas.openxmlformats.org/spreadsheetml/2006/main" count="338" uniqueCount="156">
  <si>
    <t>Id</t>
  </si>
  <si>
    <t>Name</t>
  </si>
  <si>
    <t>Calories</t>
  </si>
  <si>
    <t>FileName</t>
  </si>
  <si>
    <t>Fat</t>
  </si>
  <si>
    <t>Salt</t>
  </si>
  <si>
    <t>Sugar</t>
  </si>
  <si>
    <t>Saturates</t>
  </si>
  <si>
    <t>ExpiresIn</t>
  </si>
  <si>
    <t>EffectId</t>
  </si>
  <si>
    <t>EffectAmount</t>
  </si>
  <si>
    <t>Carrot</t>
  </si>
  <si>
    <t>Egg</t>
  </si>
  <si>
    <t>Milk</t>
  </si>
  <si>
    <t>Chicken</t>
  </si>
  <si>
    <t>Bread</t>
  </si>
  <si>
    <t>BrownBread</t>
  </si>
  <si>
    <t>Pasta</t>
  </si>
  <si>
    <t>Salmon</t>
  </si>
  <si>
    <t>Cheese</t>
  </si>
  <si>
    <t>Ham</t>
  </si>
  <si>
    <t>Rice</t>
  </si>
  <si>
    <t>Porridge</t>
  </si>
  <si>
    <t>Baked Potato</t>
  </si>
  <si>
    <t>Potatoes</t>
  </si>
  <si>
    <t>Lentils</t>
  </si>
  <si>
    <t>Peas</t>
  </si>
  <si>
    <t>Beef</t>
  </si>
  <si>
    <t>Pork</t>
  </si>
  <si>
    <t>Brocolli</t>
  </si>
  <si>
    <t>Spinach</t>
  </si>
  <si>
    <t>Tomato</t>
  </si>
  <si>
    <t>Chickpeas</t>
  </si>
  <si>
    <t>Banana</t>
  </si>
  <si>
    <t>Avocado</t>
  </si>
  <si>
    <t>Mushrooms</t>
  </si>
  <si>
    <t>Zucchini</t>
  </si>
  <si>
    <t>Kidney Beans</t>
  </si>
  <si>
    <t>KidneyBeans</t>
  </si>
  <si>
    <t>Apple</t>
  </si>
  <si>
    <t>Peach</t>
  </si>
  <si>
    <t>Cauliflower</t>
  </si>
  <si>
    <t>Pepper</t>
  </si>
  <si>
    <t>Sardines</t>
  </si>
  <si>
    <t>Prawns</t>
  </si>
  <si>
    <t>Lettuce</t>
  </si>
  <si>
    <t>Onions</t>
  </si>
  <si>
    <t>Yogurt</t>
  </si>
  <si>
    <t>Peanuts</t>
  </si>
  <si>
    <t>Chocolate</t>
  </si>
  <si>
    <t>Orange</t>
  </si>
  <si>
    <t>Duck</t>
  </si>
  <si>
    <t>Tuna</t>
  </si>
  <si>
    <t>Feta</t>
  </si>
  <si>
    <t>Grapes</t>
  </si>
  <si>
    <t>Strawberries</t>
  </si>
  <si>
    <t>Cupcake</t>
  </si>
  <si>
    <t>Jam</t>
  </si>
  <si>
    <t>Tofu</t>
  </si>
  <si>
    <t>Ages</t>
  </si>
  <si>
    <t>MaxFat</t>
  </si>
  <si>
    <t>MaxSaturates</t>
  </si>
  <si>
    <t>MaxSalt</t>
  </si>
  <si>
    <t>MaxSugar</t>
  </si>
  <si>
    <t>Baby</t>
  </si>
  <si>
    <t>6 months</t>
  </si>
  <si>
    <t>7 months</t>
  </si>
  <si>
    <t>9 months</t>
  </si>
  <si>
    <t>Toddler</t>
  </si>
  <si>
    <t>1 year</t>
  </si>
  <si>
    <t>2 years</t>
  </si>
  <si>
    <t>3 years</t>
  </si>
  <si>
    <t>Child</t>
  </si>
  <si>
    <t>4 years</t>
  </si>
  <si>
    <t>6 years</t>
  </si>
  <si>
    <t>9 years</t>
  </si>
  <si>
    <t>Teen</t>
  </si>
  <si>
    <t>12 years</t>
  </si>
  <si>
    <t>15 years</t>
  </si>
  <si>
    <t>18 years</t>
  </si>
  <si>
    <t>Young Adult</t>
  </si>
  <si>
    <t>20 years</t>
  </si>
  <si>
    <t>23 years</t>
  </si>
  <si>
    <t>25 years</t>
  </si>
  <si>
    <t>Adult</t>
  </si>
  <si>
    <t>30 years</t>
  </si>
  <si>
    <t>34 years</t>
  </si>
  <si>
    <t>38 years</t>
  </si>
  <si>
    <t>Middle Aged</t>
  </si>
  <si>
    <t>40 years</t>
  </si>
  <si>
    <t>50 years</t>
  </si>
  <si>
    <t>60 years</t>
  </si>
  <si>
    <t>Retired</t>
  </si>
  <si>
    <t>65 years</t>
  </si>
  <si>
    <t>70 years</t>
  </si>
  <si>
    <t>75 years</t>
  </si>
  <si>
    <t>Senior</t>
  </si>
  <si>
    <t>80 years</t>
  </si>
  <si>
    <t>83 years</t>
  </si>
  <si>
    <t>85 years</t>
  </si>
  <si>
    <t>Elder</t>
  </si>
  <si>
    <t>90 years</t>
  </si>
  <si>
    <t>95 years</t>
  </si>
  <si>
    <t>100 years</t>
  </si>
  <si>
    <t>Reward1</t>
  </si>
  <si>
    <t>Reward2</t>
  </si>
  <si>
    <t>Reward3</t>
  </si>
  <si>
    <t>Starting Deck</t>
  </si>
  <si>
    <t>Quantity</t>
  </si>
  <si>
    <t>Almond</t>
  </si>
  <si>
    <t>Watermelon</t>
  </si>
  <si>
    <t>Turkey</t>
  </si>
  <si>
    <t>Honey</t>
  </si>
  <si>
    <t>Fig</t>
  </si>
  <si>
    <t>Cucumber</t>
  </si>
  <si>
    <t>Blueberries</t>
  </si>
  <si>
    <t>Melon</t>
  </si>
  <si>
    <t>Raspberries</t>
  </si>
  <si>
    <t>Rocket</t>
  </si>
  <si>
    <t>Plum</t>
  </si>
  <si>
    <t>Cabbage</t>
  </si>
  <si>
    <t>Pumpkin</t>
  </si>
  <si>
    <t>Lemonade</t>
  </si>
  <si>
    <t>Skip And Shuffle</t>
  </si>
  <si>
    <t>Mechanics</t>
  </si>
  <si>
    <t>Base</t>
  </si>
  <si>
    <t>Expiry</t>
  </si>
  <si>
    <t>Combo</t>
  </si>
  <si>
    <t>Time Limit</t>
  </si>
  <si>
    <t>Food Effects</t>
  </si>
  <si>
    <t>Energy Usage</t>
  </si>
  <si>
    <t>Random Effects</t>
  </si>
  <si>
    <t>Cherries</t>
  </si>
  <si>
    <t>Corn Flakes</t>
  </si>
  <si>
    <t>Leek</t>
  </si>
  <si>
    <t>Chayote</t>
  </si>
  <si>
    <t>Brussel Sprouts</t>
  </si>
  <si>
    <t>BrusselSprouts</t>
  </si>
  <si>
    <t>Pizza</t>
  </si>
  <si>
    <t>French Fries</t>
  </si>
  <si>
    <t>FrenchFried</t>
  </si>
  <si>
    <t>Soda</t>
  </si>
  <si>
    <t>Ice Cream</t>
  </si>
  <si>
    <t>IceCream</t>
  </si>
  <si>
    <t>Cod</t>
  </si>
  <si>
    <t>Squid</t>
  </si>
  <si>
    <t>Hamburguer</t>
  </si>
  <si>
    <t>Heart Healthy</t>
  </si>
  <si>
    <t>Sugar Friendly</t>
  </si>
  <si>
    <t>Hydration</t>
  </si>
  <si>
    <t>Super Food</t>
  </si>
  <si>
    <t>Fridge</t>
  </si>
  <si>
    <t>Fat Burning</t>
  </si>
  <si>
    <t>Sugar Rush</t>
  </si>
  <si>
    <t>Slow Release</t>
  </si>
  <si>
    <t>Max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</si>
</sst>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33" borderId="0" xfId="0" applyFill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6422-2942-4E22-8719-1AF274F2696F}">
  <dimension ref="A1:O76"/>
  <sheetViews>
    <sheetView workbookViewId="0">
      <selection activeCell="E25" sqref="E25:H25"/>
    </sheetView>
  </sheetViews>
  <sheetFormatPr defaultRowHeight="14.5" x14ac:dyDescent="0.35"/>
  <cols>
    <col min="2" max="2" width="12.08984375" bestFit="1" customWidth="1"/>
    <col min="4" max="4" width="11.7265625" bestFit="1" customWidth="1"/>
    <col min="9" max="9" width="12.08984375" bestFit="1" customWidth="1"/>
    <col min="10" max="10" width="12.90625" bestFit="1" customWidth="1"/>
    <col min="12" max="12" width="10.36328125" bestFit="1" customWidth="1"/>
    <col min="14" max="14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30</v>
      </c>
      <c r="D2" t="s">
        <v>11</v>
      </c>
      <c r="E2">
        <v>0.2</v>
      </c>
      <c r="F2">
        <v>0.05</v>
      </c>
      <c r="G2">
        <v>3.4</v>
      </c>
      <c r="H2">
        <v>0</v>
      </c>
      <c r="I2">
        <v>3</v>
      </c>
      <c r="J2">
        <v>10</v>
      </c>
      <c r="K2">
        <v>15</v>
      </c>
    </row>
    <row r="3" spans="1:11" x14ac:dyDescent="0.35">
      <c r="A3">
        <v>2</v>
      </c>
      <c r="B3" t="s">
        <v>12</v>
      </c>
      <c r="C3">
        <v>78</v>
      </c>
      <c r="D3" t="s">
        <v>12</v>
      </c>
      <c r="E3">
        <v>3.4</v>
      </c>
      <c r="F3">
        <v>6.2E-2</v>
      </c>
      <c r="G3">
        <v>0.6</v>
      </c>
      <c r="H3">
        <v>1.6</v>
      </c>
      <c r="I3">
        <v>4</v>
      </c>
      <c r="J3">
        <v>8</v>
      </c>
      <c r="K3">
        <v>30</v>
      </c>
    </row>
    <row r="4" spans="1:11" x14ac:dyDescent="0.35">
      <c r="A4">
        <v>3</v>
      </c>
      <c r="B4" t="s">
        <v>13</v>
      </c>
      <c r="C4">
        <v>42</v>
      </c>
      <c r="D4" t="s">
        <v>13</v>
      </c>
      <c r="E4">
        <v>3</v>
      </c>
      <c r="F4">
        <v>4.3999999999999997E-2</v>
      </c>
      <c r="G4">
        <v>5</v>
      </c>
      <c r="H4">
        <v>0.6</v>
      </c>
      <c r="I4">
        <v>3</v>
      </c>
      <c r="J4">
        <v>11</v>
      </c>
      <c r="K4">
        <v>15</v>
      </c>
    </row>
    <row r="5" spans="1:11" x14ac:dyDescent="0.35">
      <c r="A5">
        <v>4</v>
      </c>
      <c r="B5" t="s">
        <v>14</v>
      </c>
      <c r="C5">
        <v>165</v>
      </c>
      <c r="D5" t="s">
        <v>14</v>
      </c>
      <c r="E5">
        <v>3.6</v>
      </c>
      <c r="F5">
        <v>0.08</v>
      </c>
      <c r="G5">
        <v>0</v>
      </c>
      <c r="H5">
        <v>1</v>
      </c>
      <c r="I5">
        <v>2</v>
      </c>
      <c r="J5">
        <v>8</v>
      </c>
      <c r="K5">
        <v>30</v>
      </c>
    </row>
    <row r="6" spans="1:11" x14ac:dyDescent="0.35">
      <c r="A6">
        <v>5</v>
      </c>
      <c r="B6" t="s">
        <v>15</v>
      </c>
      <c r="C6">
        <v>75</v>
      </c>
      <c r="D6" t="s">
        <v>16</v>
      </c>
      <c r="E6">
        <v>0.8</v>
      </c>
      <c r="F6">
        <v>0.14000000000000001</v>
      </c>
      <c r="G6">
        <v>1.5</v>
      </c>
      <c r="H6">
        <v>0.2</v>
      </c>
      <c r="I6">
        <v>3</v>
      </c>
      <c r="J6">
        <v>2</v>
      </c>
      <c r="K6">
        <v>15</v>
      </c>
    </row>
    <row r="7" spans="1:11" x14ac:dyDescent="0.35">
      <c r="A7">
        <v>6</v>
      </c>
      <c r="B7" t="s">
        <v>17</v>
      </c>
      <c r="C7">
        <v>158</v>
      </c>
      <c r="D7" t="s">
        <v>17</v>
      </c>
      <c r="E7">
        <v>0.5</v>
      </c>
      <c r="F7">
        <v>3.4000000000000002E-2</v>
      </c>
      <c r="G7">
        <v>0.8</v>
      </c>
      <c r="H7">
        <v>0.1</v>
      </c>
      <c r="I7">
        <v>2</v>
      </c>
      <c r="J7">
        <v>3</v>
      </c>
      <c r="K7">
        <v>30</v>
      </c>
    </row>
    <row r="8" spans="1:11" x14ac:dyDescent="0.35">
      <c r="A8">
        <v>7</v>
      </c>
      <c r="B8" t="s">
        <v>18</v>
      </c>
      <c r="C8">
        <v>206</v>
      </c>
      <c r="D8" t="s">
        <v>18</v>
      </c>
      <c r="E8">
        <v>9.6</v>
      </c>
      <c r="F8">
        <v>6.0999999999999999E-2</v>
      </c>
      <c r="G8">
        <v>0</v>
      </c>
      <c r="H8">
        <v>2.4</v>
      </c>
      <c r="I8">
        <v>2</v>
      </c>
      <c r="J8">
        <v>10</v>
      </c>
      <c r="K8">
        <v>30</v>
      </c>
    </row>
    <row r="9" spans="1:11" x14ac:dyDescent="0.35">
      <c r="A9">
        <v>8</v>
      </c>
      <c r="B9" t="s">
        <v>19</v>
      </c>
      <c r="C9">
        <v>112</v>
      </c>
      <c r="D9" t="s">
        <v>19</v>
      </c>
      <c r="E9">
        <v>3.37</v>
      </c>
      <c r="F9">
        <v>0.17</v>
      </c>
      <c r="G9">
        <v>0.15</v>
      </c>
      <c r="H9">
        <v>4</v>
      </c>
      <c r="I9">
        <v>3</v>
      </c>
      <c r="J9">
        <v>10</v>
      </c>
      <c r="K9">
        <v>15</v>
      </c>
    </row>
    <row r="10" spans="1:11" x14ac:dyDescent="0.35">
      <c r="A10">
        <v>10</v>
      </c>
      <c r="B10" t="s">
        <v>20</v>
      </c>
      <c r="C10">
        <v>45</v>
      </c>
      <c r="D10" t="s">
        <v>20</v>
      </c>
      <c r="E10">
        <v>2</v>
      </c>
      <c r="F10">
        <v>0.32</v>
      </c>
      <c r="G10">
        <v>0</v>
      </c>
      <c r="H10">
        <v>1</v>
      </c>
      <c r="I10">
        <v>2</v>
      </c>
      <c r="J10">
        <v>3</v>
      </c>
      <c r="K10">
        <v>15</v>
      </c>
    </row>
    <row r="11" spans="1:11" x14ac:dyDescent="0.35">
      <c r="A11">
        <v>11</v>
      </c>
      <c r="B11" t="s">
        <v>21</v>
      </c>
      <c r="C11">
        <v>130</v>
      </c>
      <c r="D11" t="s">
        <v>21</v>
      </c>
      <c r="E11">
        <v>0.3</v>
      </c>
      <c r="F11">
        <v>1E-3</v>
      </c>
      <c r="G11">
        <v>0.1</v>
      </c>
      <c r="H11">
        <v>0.1</v>
      </c>
      <c r="I11">
        <v>5</v>
      </c>
      <c r="J11">
        <v>2</v>
      </c>
      <c r="K11">
        <v>15</v>
      </c>
    </row>
    <row r="12" spans="1:11" x14ac:dyDescent="0.35">
      <c r="A12">
        <v>12</v>
      </c>
      <c r="B12" t="s">
        <v>22</v>
      </c>
      <c r="C12">
        <v>100</v>
      </c>
      <c r="D12" t="s">
        <v>22</v>
      </c>
      <c r="E12">
        <v>2</v>
      </c>
      <c r="F12">
        <v>0</v>
      </c>
      <c r="G12">
        <v>1</v>
      </c>
      <c r="H12">
        <v>0.2</v>
      </c>
      <c r="I12">
        <v>3</v>
      </c>
      <c r="J12">
        <v>3</v>
      </c>
      <c r="K12">
        <v>30</v>
      </c>
    </row>
    <row r="13" spans="1:11" x14ac:dyDescent="0.35">
      <c r="A13">
        <v>13</v>
      </c>
      <c r="B13" t="s">
        <v>23</v>
      </c>
      <c r="C13">
        <v>160</v>
      </c>
      <c r="D13" t="s">
        <v>24</v>
      </c>
      <c r="E13">
        <v>0.2</v>
      </c>
      <c r="F13">
        <v>2.4E-2</v>
      </c>
      <c r="G13">
        <v>1.2</v>
      </c>
      <c r="H13">
        <v>0.1</v>
      </c>
      <c r="I13">
        <v>3</v>
      </c>
      <c r="J13">
        <v>2</v>
      </c>
      <c r="K13">
        <v>15</v>
      </c>
    </row>
    <row r="14" spans="1:11" x14ac:dyDescent="0.35">
      <c r="A14">
        <v>14</v>
      </c>
      <c r="B14" t="s">
        <v>25</v>
      </c>
      <c r="C14">
        <v>116</v>
      </c>
      <c r="D14" t="s">
        <v>25</v>
      </c>
      <c r="E14">
        <v>0.4</v>
      </c>
      <c r="F14">
        <v>2E-3</v>
      </c>
      <c r="G14">
        <v>1.8</v>
      </c>
      <c r="H14">
        <v>0.1</v>
      </c>
      <c r="I14">
        <v>5</v>
      </c>
      <c r="J14">
        <v>16</v>
      </c>
      <c r="K14">
        <v>10</v>
      </c>
    </row>
    <row r="15" spans="1:11" x14ac:dyDescent="0.35">
      <c r="A15">
        <v>15</v>
      </c>
      <c r="B15" t="s">
        <v>26</v>
      </c>
      <c r="C15">
        <v>84</v>
      </c>
      <c r="D15" t="s">
        <v>26</v>
      </c>
      <c r="E15">
        <v>0.8</v>
      </c>
      <c r="F15">
        <v>0.1</v>
      </c>
      <c r="G15">
        <v>5</v>
      </c>
      <c r="H15">
        <v>0.1</v>
      </c>
      <c r="I15">
        <v>3</v>
      </c>
      <c r="J15">
        <v>9</v>
      </c>
      <c r="K15">
        <v>15</v>
      </c>
    </row>
    <row r="16" spans="1:11" x14ac:dyDescent="0.35">
      <c r="A16">
        <v>16</v>
      </c>
      <c r="B16" t="s">
        <v>27</v>
      </c>
      <c r="C16">
        <v>250</v>
      </c>
      <c r="D16" t="s">
        <v>27</v>
      </c>
      <c r="E16">
        <v>15</v>
      </c>
      <c r="F16">
        <v>7.4999999999999997E-2</v>
      </c>
      <c r="G16">
        <v>0</v>
      </c>
      <c r="H16">
        <v>6.8</v>
      </c>
      <c r="I16">
        <v>2</v>
      </c>
      <c r="J16">
        <v>3</v>
      </c>
      <c r="K16">
        <v>30</v>
      </c>
    </row>
    <row r="17" spans="1:11" x14ac:dyDescent="0.35">
      <c r="A17">
        <v>17</v>
      </c>
      <c r="B17" t="s">
        <v>28</v>
      </c>
      <c r="C17">
        <v>242</v>
      </c>
      <c r="D17" t="s">
        <v>28</v>
      </c>
      <c r="E17">
        <v>14</v>
      </c>
      <c r="F17">
        <v>4.5999999999999999E-2</v>
      </c>
      <c r="G17">
        <v>0</v>
      </c>
      <c r="H17">
        <v>7.7</v>
      </c>
      <c r="I17">
        <v>2</v>
      </c>
      <c r="J17">
        <v>3</v>
      </c>
      <c r="K17">
        <v>30</v>
      </c>
    </row>
    <row r="18" spans="1:11" x14ac:dyDescent="0.35">
      <c r="A18">
        <v>18</v>
      </c>
      <c r="B18" t="s">
        <v>29</v>
      </c>
      <c r="C18">
        <v>34</v>
      </c>
      <c r="D18" t="s">
        <v>29</v>
      </c>
      <c r="E18">
        <v>0.4</v>
      </c>
      <c r="F18">
        <v>4.1000000000000002E-2</v>
      </c>
      <c r="G18">
        <v>1.7</v>
      </c>
      <c r="H18">
        <v>0.1</v>
      </c>
      <c r="I18">
        <v>3</v>
      </c>
      <c r="J18">
        <v>16</v>
      </c>
      <c r="K18">
        <v>5</v>
      </c>
    </row>
    <row r="19" spans="1:11" x14ac:dyDescent="0.35">
      <c r="A19">
        <v>19</v>
      </c>
      <c r="B19" t="s">
        <v>30</v>
      </c>
      <c r="C19">
        <v>23</v>
      </c>
      <c r="D19" t="s">
        <v>30</v>
      </c>
      <c r="E19">
        <v>0.4</v>
      </c>
      <c r="F19">
        <v>9.7000000000000003E-2</v>
      </c>
      <c r="G19">
        <v>0.4</v>
      </c>
      <c r="H19">
        <v>0.1</v>
      </c>
      <c r="I19">
        <v>2</v>
      </c>
      <c r="J19">
        <v>16</v>
      </c>
      <c r="K19">
        <v>5</v>
      </c>
    </row>
    <row r="20" spans="1:11" x14ac:dyDescent="0.35">
      <c r="A20">
        <v>20</v>
      </c>
      <c r="B20" t="s">
        <v>31</v>
      </c>
      <c r="C20">
        <v>18</v>
      </c>
      <c r="D20" t="s">
        <v>31</v>
      </c>
      <c r="E20">
        <v>0.2</v>
      </c>
      <c r="F20">
        <v>5.0000000000000001E-3</v>
      </c>
      <c r="G20">
        <v>2.6</v>
      </c>
      <c r="H20">
        <v>0</v>
      </c>
      <c r="I20">
        <v>3</v>
      </c>
      <c r="J20">
        <v>11</v>
      </c>
      <c r="K20">
        <v>15</v>
      </c>
    </row>
    <row r="21" spans="1:11" x14ac:dyDescent="0.35">
      <c r="A21">
        <v>21</v>
      </c>
      <c r="B21" t="s">
        <v>32</v>
      </c>
      <c r="C21">
        <v>164</v>
      </c>
      <c r="D21" t="s">
        <v>32</v>
      </c>
      <c r="E21">
        <v>2.4</v>
      </c>
      <c r="F21">
        <v>7.0000000000000001E-3</v>
      </c>
      <c r="G21">
        <v>4.8</v>
      </c>
      <c r="H21">
        <v>0.4</v>
      </c>
      <c r="I21">
        <v>5</v>
      </c>
      <c r="J21">
        <v>10</v>
      </c>
      <c r="K21">
        <v>30</v>
      </c>
    </row>
    <row r="22" spans="1:11" x14ac:dyDescent="0.35">
      <c r="A22">
        <v>22</v>
      </c>
      <c r="B22" t="s">
        <v>33</v>
      </c>
      <c r="C22">
        <v>89</v>
      </c>
      <c r="D22" t="s">
        <v>33</v>
      </c>
      <c r="E22">
        <v>0.3</v>
      </c>
      <c r="F22">
        <v>1E-3</v>
      </c>
      <c r="G22">
        <v>12</v>
      </c>
      <c r="H22">
        <v>0.1</v>
      </c>
      <c r="I22">
        <v>3</v>
      </c>
      <c r="J22">
        <v>2</v>
      </c>
      <c r="K22">
        <v>15</v>
      </c>
    </row>
    <row r="23" spans="1:11" x14ac:dyDescent="0.35">
      <c r="A23">
        <v>23</v>
      </c>
      <c r="B23" t="s">
        <v>34</v>
      </c>
      <c r="C23">
        <v>160</v>
      </c>
      <c r="D23" t="s">
        <v>34</v>
      </c>
      <c r="E23">
        <v>12</v>
      </c>
      <c r="F23">
        <v>7.0000000000000001E-3</v>
      </c>
      <c r="G23">
        <v>0.7</v>
      </c>
      <c r="H23">
        <v>2</v>
      </c>
      <c r="I23">
        <v>2</v>
      </c>
      <c r="J23">
        <v>16</v>
      </c>
      <c r="K23">
        <v>10</v>
      </c>
    </row>
    <row r="24" spans="1:11" x14ac:dyDescent="0.35">
      <c r="A24">
        <v>24</v>
      </c>
      <c r="B24" t="s">
        <v>35</v>
      </c>
      <c r="C24">
        <v>30</v>
      </c>
      <c r="D24" t="s">
        <v>35</v>
      </c>
      <c r="E24">
        <v>0.4</v>
      </c>
      <c r="F24">
        <v>0.01</v>
      </c>
      <c r="G24">
        <v>0</v>
      </c>
      <c r="H24">
        <v>0</v>
      </c>
      <c r="I24">
        <v>3</v>
      </c>
      <c r="J24">
        <v>8</v>
      </c>
      <c r="K24">
        <v>15</v>
      </c>
    </row>
    <row r="25" spans="1:11" x14ac:dyDescent="0.35">
      <c r="A25">
        <v>25</v>
      </c>
      <c r="B25" t="s">
        <v>36</v>
      </c>
      <c r="C25">
        <v>17</v>
      </c>
      <c r="D25" t="s">
        <v>36</v>
      </c>
      <c r="E25">
        <v>0.2</v>
      </c>
      <c r="F25">
        <v>1E-3</v>
      </c>
      <c r="G25">
        <v>2.5</v>
      </c>
      <c r="H25">
        <v>0.1</v>
      </c>
      <c r="I25">
        <v>4</v>
      </c>
      <c r="J25">
        <v>11</v>
      </c>
      <c r="K25">
        <v>15</v>
      </c>
    </row>
    <row r="26" spans="1:11" x14ac:dyDescent="0.35">
      <c r="A26">
        <v>26</v>
      </c>
      <c r="B26" t="s">
        <v>37</v>
      </c>
      <c r="C26">
        <v>127</v>
      </c>
      <c r="D26" t="s">
        <v>38</v>
      </c>
      <c r="E26">
        <v>0.4</v>
      </c>
      <c r="F26">
        <v>2E-3</v>
      </c>
      <c r="G26">
        <v>0.3</v>
      </c>
      <c r="H26">
        <v>0.1</v>
      </c>
      <c r="I26">
        <v>5</v>
      </c>
      <c r="J26">
        <v>9</v>
      </c>
      <c r="K26">
        <v>15</v>
      </c>
    </row>
    <row r="27" spans="1:11" x14ac:dyDescent="0.35">
      <c r="A27">
        <v>27</v>
      </c>
      <c r="B27" t="s">
        <v>39</v>
      </c>
      <c r="C27">
        <v>52</v>
      </c>
      <c r="D27" t="s">
        <v>39</v>
      </c>
      <c r="E27">
        <v>0.2</v>
      </c>
      <c r="F27">
        <v>1E-3</v>
      </c>
      <c r="G27">
        <v>10</v>
      </c>
      <c r="H27">
        <v>0</v>
      </c>
      <c r="I27">
        <v>4</v>
      </c>
      <c r="J27">
        <v>3</v>
      </c>
      <c r="K27">
        <v>15</v>
      </c>
    </row>
    <row r="28" spans="1:11" x14ac:dyDescent="0.35">
      <c r="A28">
        <v>28</v>
      </c>
      <c r="B28" t="s">
        <v>40</v>
      </c>
      <c r="C28">
        <v>39</v>
      </c>
      <c r="D28" t="s">
        <v>40</v>
      </c>
      <c r="E28">
        <v>0.25</v>
      </c>
      <c r="F28">
        <v>3.0000000000000001E-3</v>
      </c>
      <c r="G28">
        <v>6.6</v>
      </c>
      <c r="H28">
        <v>0.02</v>
      </c>
      <c r="I28">
        <v>3</v>
      </c>
      <c r="J28">
        <v>11</v>
      </c>
      <c r="K28">
        <v>15</v>
      </c>
    </row>
    <row r="29" spans="1:11" x14ac:dyDescent="0.35">
      <c r="A29">
        <v>29</v>
      </c>
      <c r="B29" t="s">
        <v>41</v>
      </c>
      <c r="C29">
        <v>25</v>
      </c>
      <c r="D29" t="s">
        <v>41</v>
      </c>
      <c r="E29">
        <v>0.3</v>
      </c>
      <c r="F29">
        <v>0.03</v>
      </c>
      <c r="G29">
        <v>1.9</v>
      </c>
      <c r="H29">
        <v>0</v>
      </c>
      <c r="I29">
        <v>3</v>
      </c>
      <c r="J29">
        <v>16</v>
      </c>
      <c r="K29">
        <v>5</v>
      </c>
    </row>
    <row r="30" spans="1:11" x14ac:dyDescent="0.35">
      <c r="A30">
        <v>30</v>
      </c>
      <c r="B30" t="s">
        <v>42</v>
      </c>
      <c r="C30">
        <v>30</v>
      </c>
      <c r="D30" t="s">
        <v>42</v>
      </c>
      <c r="E30">
        <v>0.3</v>
      </c>
      <c r="F30">
        <v>0.04</v>
      </c>
      <c r="G30">
        <v>4.4000000000000004</v>
      </c>
      <c r="H30">
        <v>0</v>
      </c>
      <c r="I30">
        <v>3</v>
      </c>
      <c r="J30">
        <v>8</v>
      </c>
      <c r="K30">
        <v>15</v>
      </c>
    </row>
    <row r="31" spans="1:11" x14ac:dyDescent="0.35">
      <c r="A31">
        <v>31</v>
      </c>
      <c r="B31" t="s">
        <v>43</v>
      </c>
      <c r="C31">
        <v>208</v>
      </c>
      <c r="D31" t="s">
        <v>43</v>
      </c>
      <c r="E31">
        <v>9</v>
      </c>
      <c r="F31">
        <v>0.3</v>
      </c>
      <c r="G31">
        <v>0</v>
      </c>
      <c r="H31">
        <v>1.5</v>
      </c>
      <c r="I31">
        <v>2</v>
      </c>
      <c r="J31">
        <v>9</v>
      </c>
      <c r="K31">
        <v>30</v>
      </c>
    </row>
    <row r="32" spans="1:11" x14ac:dyDescent="0.35">
      <c r="A32">
        <v>32</v>
      </c>
      <c r="B32" t="s">
        <v>44</v>
      </c>
      <c r="C32">
        <v>115</v>
      </c>
      <c r="D32" t="s">
        <v>44</v>
      </c>
      <c r="E32">
        <v>2</v>
      </c>
      <c r="F32">
        <v>0.5</v>
      </c>
      <c r="G32">
        <v>0</v>
      </c>
      <c r="H32">
        <v>1</v>
      </c>
      <c r="I32">
        <v>2</v>
      </c>
      <c r="J32">
        <v>10</v>
      </c>
      <c r="K32">
        <v>30</v>
      </c>
    </row>
    <row r="33" spans="1:11" x14ac:dyDescent="0.35">
      <c r="A33">
        <v>33</v>
      </c>
      <c r="B33" t="s">
        <v>45</v>
      </c>
      <c r="C33">
        <v>17</v>
      </c>
      <c r="D33" t="s">
        <v>45</v>
      </c>
      <c r="E33">
        <v>0.3</v>
      </c>
      <c r="F33">
        <v>1.2E-2</v>
      </c>
      <c r="G33">
        <v>2</v>
      </c>
      <c r="H33">
        <v>0</v>
      </c>
      <c r="I33">
        <v>3</v>
      </c>
      <c r="J33">
        <v>11</v>
      </c>
      <c r="K33">
        <v>15</v>
      </c>
    </row>
    <row r="34" spans="1:11" x14ac:dyDescent="0.35">
      <c r="A34">
        <v>34</v>
      </c>
      <c r="B34" t="s">
        <v>46</v>
      </c>
      <c r="C34">
        <v>40</v>
      </c>
      <c r="D34" t="s">
        <v>46</v>
      </c>
      <c r="E34">
        <v>0.2</v>
      </c>
      <c r="F34">
        <v>4.0000000000000001E-3</v>
      </c>
      <c r="G34">
        <v>4.2</v>
      </c>
      <c r="H34">
        <v>0</v>
      </c>
      <c r="I34">
        <v>4</v>
      </c>
      <c r="J34">
        <v>8</v>
      </c>
      <c r="K34">
        <v>15</v>
      </c>
    </row>
    <row r="35" spans="1:11" x14ac:dyDescent="0.35">
      <c r="A35">
        <v>35</v>
      </c>
      <c r="B35" t="s">
        <v>47</v>
      </c>
      <c r="C35">
        <v>60</v>
      </c>
      <c r="D35" t="s">
        <v>47</v>
      </c>
      <c r="E35">
        <v>1.5</v>
      </c>
      <c r="F35">
        <v>7.6999999999999999E-2</v>
      </c>
      <c r="G35">
        <v>6</v>
      </c>
      <c r="H35">
        <v>2</v>
      </c>
      <c r="I35">
        <v>4</v>
      </c>
      <c r="J35">
        <v>11</v>
      </c>
      <c r="K35">
        <v>15</v>
      </c>
    </row>
    <row r="36" spans="1:11" x14ac:dyDescent="0.35">
      <c r="A36">
        <v>36</v>
      </c>
      <c r="B36" t="s">
        <v>48</v>
      </c>
      <c r="C36">
        <v>180</v>
      </c>
      <c r="D36" t="s">
        <v>48</v>
      </c>
      <c r="E36">
        <v>13</v>
      </c>
      <c r="F36">
        <v>0.2</v>
      </c>
      <c r="G36">
        <v>2</v>
      </c>
      <c r="H36">
        <v>2</v>
      </c>
      <c r="I36">
        <v>5</v>
      </c>
      <c r="J36">
        <v>2</v>
      </c>
      <c r="K36">
        <v>30</v>
      </c>
    </row>
    <row r="37" spans="1:11" x14ac:dyDescent="0.35">
      <c r="A37">
        <v>37</v>
      </c>
      <c r="B37" t="s">
        <v>49</v>
      </c>
      <c r="C37">
        <v>200</v>
      </c>
      <c r="D37" t="s">
        <v>49</v>
      </c>
      <c r="E37">
        <v>5</v>
      </c>
      <c r="F37">
        <v>0.03</v>
      </c>
      <c r="G37">
        <v>15</v>
      </c>
      <c r="H37">
        <v>11</v>
      </c>
      <c r="I37">
        <v>4</v>
      </c>
      <c r="J37">
        <v>2</v>
      </c>
      <c r="K37">
        <v>30</v>
      </c>
    </row>
    <row r="38" spans="1:11" x14ac:dyDescent="0.35">
      <c r="A38">
        <v>39</v>
      </c>
      <c r="B38" t="s">
        <v>50</v>
      </c>
      <c r="C38">
        <v>73</v>
      </c>
      <c r="D38" t="s">
        <v>50</v>
      </c>
      <c r="E38">
        <v>0.2</v>
      </c>
      <c r="F38">
        <v>1.2999999999999999E-2</v>
      </c>
      <c r="G38">
        <v>9</v>
      </c>
      <c r="H38">
        <v>0</v>
      </c>
      <c r="I38">
        <v>3</v>
      </c>
      <c r="J38">
        <v>3</v>
      </c>
      <c r="K38">
        <v>15</v>
      </c>
    </row>
    <row r="39" spans="1:11" x14ac:dyDescent="0.35">
      <c r="A39">
        <v>40</v>
      </c>
      <c r="B39" t="s">
        <v>51</v>
      </c>
      <c r="C39">
        <v>119</v>
      </c>
      <c r="D39" t="s">
        <v>51</v>
      </c>
      <c r="E39">
        <v>1.5</v>
      </c>
      <c r="F39">
        <v>8.8999999999999996E-2</v>
      </c>
      <c r="G39">
        <v>0</v>
      </c>
      <c r="H39">
        <v>1.1000000000000001</v>
      </c>
      <c r="I39">
        <v>2</v>
      </c>
      <c r="J39">
        <v>3</v>
      </c>
      <c r="K39">
        <v>30</v>
      </c>
    </row>
    <row r="40" spans="1:11" x14ac:dyDescent="0.35">
      <c r="A40">
        <v>41</v>
      </c>
      <c r="B40" t="s">
        <v>52</v>
      </c>
      <c r="C40">
        <v>120</v>
      </c>
      <c r="D40" t="s">
        <v>52</v>
      </c>
      <c r="E40">
        <v>0.5</v>
      </c>
      <c r="F40">
        <v>0.14000000000000001</v>
      </c>
      <c r="G40">
        <v>0</v>
      </c>
      <c r="H40">
        <v>0.8</v>
      </c>
      <c r="I40">
        <v>3</v>
      </c>
      <c r="J40">
        <v>10</v>
      </c>
      <c r="K40">
        <v>30</v>
      </c>
    </row>
    <row r="41" spans="1:11" x14ac:dyDescent="0.35">
      <c r="A41">
        <v>42</v>
      </c>
      <c r="B41" t="s">
        <v>53</v>
      </c>
      <c r="C41">
        <v>75</v>
      </c>
      <c r="D41" t="s">
        <v>53</v>
      </c>
      <c r="E41">
        <v>1.8</v>
      </c>
      <c r="F41">
        <v>0.26</v>
      </c>
      <c r="G41">
        <v>0.5</v>
      </c>
      <c r="H41">
        <v>0</v>
      </c>
      <c r="I41">
        <v>2</v>
      </c>
      <c r="J41">
        <v>9</v>
      </c>
      <c r="K41">
        <v>15</v>
      </c>
    </row>
    <row r="42" spans="1:11" x14ac:dyDescent="0.35">
      <c r="A42">
        <v>43</v>
      </c>
      <c r="B42" t="s">
        <v>54</v>
      </c>
      <c r="C42">
        <v>68</v>
      </c>
      <c r="D42" t="s">
        <v>54</v>
      </c>
      <c r="E42">
        <v>0.2</v>
      </c>
      <c r="F42">
        <v>2E-3</v>
      </c>
      <c r="G42">
        <v>15</v>
      </c>
      <c r="H42">
        <v>0.1</v>
      </c>
      <c r="I42">
        <v>4</v>
      </c>
      <c r="J42">
        <v>11</v>
      </c>
      <c r="K42">
        <v>30</v>
      </c>
    </row>
    <row r="43" spans="1:11" x14ac:dyDescent="0.35">
      <c r="A43">
        <v>45</v>
      </c>
      <c r="B43" t="s">
        <v>55</v>
      </c>
      <c r="C43">
        <v>32</v>
      </c>
      <c r="D43" t="s">
        <v>55</v>
      </c>
      <c r="E43">
        <v>0.3</v>
      </c>
      <c r="F43">
        <v>1E-3</v>
      </c>
      <c r="G43">
        <v>4.9000000000000004</v>
      </c>
      <c r="H43">
        <v>0</v>
      </c>
      <c r="I43">
        <v>2</v>
      </c>
      <c r="J43">
        <v>11</v>
      </c>
      <c r="K43">
        <v>15</v>
      </c>
    </row>
    <row r="44" spans="1:11" x14ac:dyDescent="0.35">
      <c r="A44">
        <v>46</v>
      </c>
      <c r="B44" t="s">
        <v>56</v>
      </c>
      <c r="C44">
        <v>250</v>
      </c>
      <c r="D44" t="s">
        <v>56</v>
      </c>
      <c r="E44">
        <v>12</v>
      </c>
      <c r="F44">
        <v>0.2</v>
      </c>
      <c r="G44">
        <v>25</v>
      </c>
      <c r="H44">
        <v>5</v>
      </c>
      <c r="I44">
        <v>3</v>
      </c>
      <c r="J44">
        <v>2</v>
      </c>
      <c r="K44">
        <v>30</v>
      </c>
    </row>
    <row r="45" spans="1:11" x14ac:dyDescent="0.35">
      <c r="A45">
        <v>49</v>
      </c>
      <c r="B45" t="s">
        <v>57</v>
      </c>
      <c r="C45">
        <v>56</v>
      </c>
      <c r="D45" t="s">
        <v>57</v>
      </c>
      <c r="E45">
        <v>0</v>
      </c>
      <c r="F45">
        <v>0.08</v>
      </c>
      <c r="G45">
        <v>10</v>
      </c>
      <c r="H45">
        <v>0</v>
      </c>
      <c r="I45">
        <v>5</v>
      </c>
      <c r="J45">
        <v>2</v>
      </c>
      <c r="K45">
        <v>15</v>
      </c>
    </row>
    <row r="46" spans="1:11" x14ac:dyDescent="0.35">
      <c r="A46">
        <v>50</v>
      </c>
      <c r="B46" t="s">
        <v>58</v>
      </c>
      <c r="C46">
        <v>80</v>
      </c>
      <c r="D46" t="s">
        <v>58</v>
      </c>
      <c r="E46">
        <v>4</v>
      </c>
      <c r="F46">
        <v>7.0000000000000001E-3</v>
      </c>
      <c r="G46">
        <v>1.5</v>
      </c>
      <c r="H46">
        <v>0</v>
      </c>
      <c r="I46">
        <v>3</v>
      </c>
      <c r="J46">
        <v>8</v>
      </c>
      <c r="K46">
        <v>30</v>
      </c>
    </row>
    <row r="47" spans="1:11" x14ac:dyDescent="0.35">
      <c r="A47">
        <v>51</v>
      </c>
      <c r="B47" t="s">
        <v>109</v>
      </c>
      <c r="C47">
        <v>90</v>
      </c>
      <c r="D47" t="s">
        <v>109</v>
      </c>
      <c r="E47">
        <v>13</v>
      </c>
      <c r="F47">
        <v>0</v>
      </c>
      <c r="G47">
        <v>1.2</v>
      </c>
      <c r="H47">
        <v>1</v>
      </c>
      <c r="I47">
        <v>5</v>
      </c>
      <c r="J47">
        <v>9</v>
      </c>
      <c r="K47">
        <v>15</v>
      </c>
    </row>
    <row r="48" spans="1:11" x14ac:dyDescent="0.35">
      <c r="A48">
        <v>52</v>
      </c>
      <c r="B48" t="s">
        <v>110</v>
      </c>
      <c r="C48">
        <v>46</v>
      </c>
      <c r="D48" t="s">
        <v>110</v>
      </c>
      <c r="E48">
        <v>0.2</v>
      </c>
      <c r="F48">
        <v>0</v>
      </c>
      <c r="G48">
        <v>9.4</v>
      </c>
      <c r="H48">
        <v>0</v>
      </c>
      <c r="I48">
        <v>3</v>
      </c>
      <c r="J48">
        <v>11</v>
      </c>
      <c r="K48">
        <v>15</v>
      </c>
    </row>
    <row r="49" spans="1:11" x14ac:dyDescent="0.35">
      <c r="A49">
        <v>53</v>
      </c>
      <c r="B49" t="s">
        <v>111</v>
      </c>
      <c r="C49">
        <v>125</v>
      </c>
      <c r="D49" t="s">
        <v>111</v>
      </c>
      <c r="E49">
        <v>3</v>
      </c>
      <c r="F49">
        <v>0.05</v>
      </c>
      <c r="G49">
        <v>0</v>
      </c>
      <c r="H49">
        <v>0.5</v>
      </c>
      <c r="I49">
        <v>2</v>
      </c>
      <c r="J49">
        <v>8</v>
      </c>
      <c r="K49">
        <v>30</v>
      </c>
    </row>
    <row r="50" spans="1:11" x14ac:dyDescent="0.35">
      <c r="A50">
        <v>56</v>
      </c>
      <c r="B50" t="s">
        <v>112</v>
      </c>
      <c r="C50">
        <v>64</v>
      </c>
      <c r="D50" t="s">
        <v>112</v>
      </c>
      <c r="E50">
        <v>0</v>
      </c>
      <c r="F50">
        <v>5.0000000000000001E-3</v>
      </c>
      <c r="G50">
        <v>17</v>
      </c>
      <c r="H50">
        <v>0</v>
      </c>
      <c r="I50">
        <v>5</v>
      </c>
      <c r="J50">
        <v>16</v>
      </c>
      <c r="K50">
        <v>5</v>
      </c>
    </row>
    <row r="51" spans="1:11" x14ac:dyDescent="0.35">
      <c r="A51">
        <v>57</v>
      </c>
      <c r="B51" t="s">
        <v>113</v>
      </c>
      <c r="C51">
        <v>74</v>
      </c>
      <c r="D51" t="s">
        <v>113</v>
      </c>
      <c r="E51">
        <v>0.2</v>
      </c>
      <c r="F51">
        <v>0.01</v>
      </c>
      <c r="G51">
        <v>16</v>
      </c>
      <c r="H51">
        <v>0.1</v>
      </c>
      <c r="I51">
        <v>3</v>
      </c>
      <c r="J51">
        <v>3</v>
      </c>
      <c r="K51">
        <v>15</v>
      </c>
    </row>
    <row r="52" spans="1:11" x14ac:dyDescent="0.35">
      <c r="A52">
        <v>58</v>
      </c>
      <c r="B52" t="s">
        <v>114</v>
      </c>
      <c r="C52">
        <v>14</v>
      </c>
      <c r="D52" t="s">
        <v>114</v>
      </c>
      <c r="E52">
        <v>0.1</v>
      </c>
      <c r="F52">
        <v>0.02</v>
      </c>
      <c r="G52">
        <v>1.5</v>
      </c>
      <c r="H52">
        <v>0.04</v>
      </c>
      <c r="I52">
        <v>3</v>
      </c>
      <c r="J52">
        <v>8</v>
      </c>
      <c r="K52">
        <v>15</v>
      </c>
    </row>
    <row r="53" spans="1:11" x14ac:dyDescent="0.35">
      <c r="A53">
        <v>59</v>
      </c>
      <c r="B53" t="s">
        <v>115</v>
      </c>
      <c r="C53">
        <v>45</v>
      </c>
      <c r="D53" t="s">
        <v>115</v>
      </c>
      <c r="E53">
        <v>0.2</v>
      </c>
      <c r="F53">
        <v>0.01</v>
      </c>
      <c r="G53">
        <v>7</v>
      </c>
      <c r="H53">
        <v>0.01</v>
      </c>
      <c r="I53">
        <v>2</v>
      </c>
      <c r="J53">
        <v>16</v>
      </c>
      <c r="K53">
        <v>5</v>
      </c>
    </row>
    <row r="54" spans="1:11" x14ac:dyDescent="0.35">
      <c r="A54">
        <v>60</v>
      </c>
      <c r="B54" t="s">
        <v>116</v>
      </c>
      <c r="C54">
        <v>60</v>
      </c>
      <c r="D54" t="s">
        <v>116</v>
      </c>
      <c r="E54">
        <v>0.2</v>
      </c>
      <c r="F54">
        <v>0.02</v>
      </c>
      <c r="G54">
        <v>14</v>
      </c>
      <c r="H54">
        <v>0</v>
      </c>
      <c r="I54">
        <v>3</v>
      </c>
      <c r="J54">
        <v>9</v>
      </c>
      <c r="K54">
        <v>15</v>
      </c>
    </row>
    <row r="55" spans="1:11" x14ac:dyDescent="0.35">
      <c r="A55">
        <v>61</v>
      </c>
      <c r="B55" t="s">
        <v>117</v>
      </c>
      <c r="C55">
        <v>64</v>
      </c>
      <c r="D55" t="s">
        <v>117</v>
      </c>
      <c r="E55">
        <v>0.4</v>
      </c>
      <c r="F55">
        <v>0</v>
      </c>
      <c r="G55">
        <v>5</v>
      </c>
      <c r="H55">
        <v>0.02</v>
      </c>
      <c r="I55">
        <v>2</v>
      </c>
      <c r="J55">
        <v>10</v>
      </c>
      <c r="K55">
        <v>15</v>
      </c>
    </row>
    <row r="56" spans="1:11" x14ac:dyDescent="0.35">
      <c r="A56">
        <v>62</v>
      </c>
      <c r="B56" t="s">
        <v>118</v>
      </c>
      <c r="C56">
        <v>25</v>
      </c>
      <c r="D56" t="s">
        <v>118</v>
      </c>
      <c r="E56">
        <v>0.7</v>
      </c>
      <c r="F56">
        <v>7.0000000000000007E-2</v>
      </c>
      <c r="G56">
        <v>0.35</v>
      </c>
      <c r="H56">
        <v>0.08</v>
      </c>
      <c r="I56">
        <v>2</v>
      </c>
      <c r="J56">
        <v>10</v>
      </c>
      <c r="K56">
        <v>15</v>
      </c>
    </row>
    <row r="57" spans="1:11" x14ac:dyDescent="0.35">
      <c r="A57">
        <v>63</v>
      </c>
      <c r="B57" t="s">
        <v>119</v>
      </c>
      <c r="C57">
        <v>35</v>
      </c>
      <c r="D57" t="s">
        <v>119</v>
      </c>
      <c r="E57">
        <v>0.2</v>
      </c>
      <c r="F57">
        <v>0</v>
      </c>
      <c r="G57">
        <v>6.5</v>
      </c>
      <c r="H57">
        <v>0</v>
      </c>
      <c r="I57">
        <v>3</v>
      </c>
      <c r="J57">
        <v>3</v>
      </c>
      <c r="K57">
        <v>15</v>
      </c>
    </row>
    <row r="58" spans="1:11" x14ac:dyDescent="0.35">
      <c r="A58">
        <v>64</v>
      </c>
      <c r="B58" t="s">
        <v>120</v>
      </c>
      <c r="C58">
        <v>22</v>
      </c>
      <c r="D58" t="s">
        <v>120</v>
      </c>
      <c r="E58">
        <v>0.1</v>
      </c>
      <c r="F58">
        <v>1.4999999999999999E-2</v>
      </c>
      <c r="G58">
        <v>2.8</v>
      </c>
      <c r="H58">
        <v>0.05</v>
      </c>
      <c r="I58">
        <v>3</v>
      </c>
      <c r="J58">
        <v>9</v>
      </c>
      <c r="K58">
        <v>15</v>
      </c>
    </row>
    <row r="59" spans="1:11" x14ac:dyDescent="0.35">
      <c r="A59">
        <v>65</v>
      </c>
      <c r="B59" t="s">
        <v>121</v>
      </c>
      <c r="C59">
        <v>30</v>
      </c>
      <c r="D59" t="s">
        <v>121</v>
      </c>
      <c r="E59">
        <v>0.2</v>
      </c>
      <c r="F59">
        <v>0.02</v>
      </c>
      <c r="G59">
        <v>5.0999999999999996</v>
      </c>
      <c r="H59">
        <v>0.1</v>
      </c>
      <c r="I59">
        <v>3</v>
      </c>
      <c r="J59">
        <v>16</v>
      </c>
      <c r="K59">
        <v>5</v>
      </c>
    </row>
    <row r="60" spans="1:11" x14ac:dyDescent="0.35">
      <c r="A60">
        <v>66</v>
      </c>
      <c r="B60" t="s">
        <v>122</v>
      </c>
      <c r="C60">
        <v>25</v>
      </c>
      <c r="D60" t="s">
        <v>122</v>
      </c>
      <c r="E60">
        <v>0</v>
      </c>
      <c r="F60">
        <v>0.02</v>
      </c>
      <c r="G60">
        <v>5</v>
      </c>
      <c r="H60">
        <v>0</v>
      </c>
      <c r="I60">
        <v>2</v>
      </c>
      <c r="J60">
        <v>11</v>
      </c>
      <c r="K60">
        <v>15</v>
      </c>
    </row>
    <row r="61" spans="1:11" x14ac:dyDescent="0.35">
      <c r="A61">
        <v>67</v>
      </c>
      <c r="B61" t="s">
        <v>132</v>
      </c>
      <c r="C61">
        <v>87</v>
      </c>
      <c r="D61" t="s">
        <v>132</v>
      </c>
      <c r="E61">
        <v>0.3</v>
      </c>
      <c r="F61">
        <v>0.03</v>
      </c>
      <c r="G61">
        <v>18</v>
      </c>
      <c r="H61">
        <v>0</v>
      </c>
      <c r="I61">
        <v>2</v>
      </c>
      <c r="J61">
        <v>9</v>
      </c>
      <c r="K61">
        <v>15</v>
      </c>
    </row>
    <row r="62" spans="1:11" x14ac:dyDescent="0.35">
      <c r="A62">
        <v>69</v>
      </c>
      <c r="B62" t="s">
        <v>133</v>
      </c>
      <c r="C62">
        <v>125</v>
      </c>
      <c r="D62" t="s">
        <v>133</v>
      </c>
      <c r="E62">
        <v>0.2</v>
      </c>
      <c r="F62">
        <v>0.03</v>
      </c>
      <c r="G62">
        <v>3</v>
      </c>
      <c r="H62">
        <v>0.1</v>
      </c>
      <c r="I62">
        <v>5</v>
      </c>
      <c r="J62">
        <v>2</v>
      </c>
      <c r="K62">
        <v>15</v>
      </c>
    </row>
    <row r="63" spans="1:11" x14ac:dyDescent="0.35">
      <c r="A63">
        <v>71</v>
      </c>
      <c r="B63" t="s">
        <v>134</v>
      </c>
      <c r="C63">
        <v>30</v>
      </c>
      <c r="D63" t="s">
        <v>134</v>
      </c>
      <c r="E63">
        <v>0.2</v>
      </c>
      <c r="F63">
        <v>0.01</v>
      </c>
      <c r="G63">
        <v>3</v>
      </c>
      <c r="H63">
        <v>0</v>
      </c>
      <c r="I63">
        <v>3</v>
      </c>
      <c r="J63">
        <v>8</v>
      </c>
      <c r="K63">
        <v>15</v>
      </c>
    </row>
    <row r="64" spans="1:11" x14ac:dyDescent="0.35">
      <c r="A64">
        <v>72</v>
      </c>
      <c r="B64" t="s">
        <v>135</v>
      </c>
      <c r="C64">
        <v>19</v>
      </c>
      <c r="D64" t="s">
        <v>135</v>
      </c>
      <c r="E64">
        <v>0.1</v>
      </c>
      <c r="F64">
        <v>0.02</v>
      </c>
      <c r="G64">
        <v>1</v>
      </c>
      <c r="H64">
        <v>0.01</v>
      </c>
      <c r="I64">
        <v>2</v>
      </c>
      <c r="J64">
        <v>16</v>
      </c>
      <c r="K64">
        <v>5</v>
      </c>
    </row>
    <row r="65" spans="1:15" x14ac:dyDescent="0.35">
      <c r="A65">
        <v>73</v>
      </c>
      <c r="B65" t="s">
        <v>136</v>
      </c>
      <c r="C65">
        <v>38</v>
      </c>
      <c r="D65" t="s">
        <v>137</v>
      </c>
      <c r="E65">
        <v>0.6</v>
      </c>
      <c r="F65">
        <v>0.02</v>
      </c>
      <c r="G65">
        <v>2</v>
      </c>
      <c r="H65">
        <v>0.05</v>
      </c>
      <c r="I65">
        <v>2</v>
      </c>
      <c r="J65">
        <v>10</v>
      </c>
      <c r="K65">
        <v>15</v>
      </c>
    </row>
    <row r="66" spans="1:15" x14ac:dyDescent="0.35">
      <c r="A66">
        <v>75</v>
      </c>
      <c r="B66" t="s">
        <v>138</v>
      </c>
      <c r="C66">
        <v>200</v>
      </c>
      <c r="D66" t="s">
        <v>138</v>
      </c>
      <c r="E66">
        <v>8</v>
      </c>
      <c r="F66">
        <v>1.5</v>
      </c>
      <c r="G66">
        <v>3</v>
      </c>
      <c r="H66">
        <v>3.5</v>
      </c>
      <c r="I66">
        <v>2</v>
      </c>
      <c r="J66">
        <v>2</v>
      </c>
      <c r="K66">
        <v>30</v>
      </c>
    </row>
    <row r="67" spans="1:15" x14ac:dyDescent="0.35">
      <c r="A67">
        <v>76</v>
      </c>
      <c r="B67" t="s">
        <v>139</v>
      </c>
      <c r="C67">
        <v>312</v>
      </c>
      <c r="D67" t="s">
        <v>140</v>
      </c>
      <c r="E67">
        <v>12</v>
      </c>
      <c r="F67">
        <v>0.03</v>
      </c>
      <c r="G67">
        <v>1.3</v>
      </c>
      <c r="H67">
        <v>3</v>
      </c>
      <c r="I67">
        <v>2</v>
      </c>
      <c r="J67">
        <v>2</v>
      </c>
      <c r="K67">
        <v>30</v>
      </c>
    </row>
    <row r="68" spans="1:15" x14ac:dyDescent="0.35">
      <c r="A68">
        <v>77</v>
      </c>
      <c r="B68" t="s">
        <v>141</v>
      </c>
      <c r="C68">
        <v>140</v>
      </c>
      <c r="D68" t="s">
        <v>141</v>
      </c>
      <c r="E68">
        <v>0</v>
      </c>
      <c r="F68">
        <v>0</v>
      </c>
      <c r="G68">
        <v>35</v>
      </c>
      <c r="H68">
        <v>0</v>
      </c>
      <c r="I68">
        <v>5</v>
      </c>
      <c r="J68">
        <v>2</v>
      </c>
      <c r="K68">
        <v>15</v>
      </c>
    </row>
    <row r="69" spans="1:15" x14ac:dyDescent="0.35">
      <c r="A69">
        <v>79</v>
      </c>
      <c r="B69" t="s">
        <v>142</v>
      </c>
      <c r="C69">
        <v>135</v>
      </c>
      <c r="D69" t="s">
        <v>143</v>
      </c>
      <c r="E69">
        <v>3</v>
      </c>
      <c r="F69">
        <v>0.1</v>
      </c>
      <c r="G69">
        <v>12</v>
      </c>
      <c r="H69">
        <v>4</v>
      </c>
      <c r="I69">
        <v>2</v>
      </c>
      <c r="J69">
        <v>2</v>
      </c>
      <c r="K69">
        <v>15</v>
      </c>
    </row>
    <row r="70" spans="1:15" x14ac:dyDescent="0.35">
      <c r="A70">
        <v>80</v>
      </c>
      <c r="B70" t="s">
        <v>144</v>
      </c>
      <c r="C70">
        <v>90</v>
      </c>
      <c r="D70" t="s">
        <v>144</v>
      </c>
      <c r="E70">
        <v>1</v>
      </c>
      <c r="F70">
        <v>7.0000000000000007E-2</v>
      </c>
      <c r="G70">
        <v>0</v>
      </c>
      <c r="H70">
        <v>0</v>
      </c>
      <c r="I70">
        <v>4</v>
      </c>
      <c r="J70">
        <v>10</v>
      </c>
      <c r="K70">
        <v>30</v>
      </c>
    </row>
    <row r="71" spans="1:15" x14ac:dyDescent="0.35">
      <c r="A71">
        <v>81</v>
      </c>
      <c r="B71" t="s">
        <v>145</v>
      </c>
      <c r="C71">
        <v>80</v>
      </c>
      <c r="D71" t="s">
        <v>145</v>
      </c>
      <c r="E71">
        <v>1.1000000000000001</v>
      </c>
      <c r="F71">
        <v>0.05</v>
      </c>
      <c r="G71">
        <v>0</v>
      </c>
      <c r="H71">
        <v>0</v>
      </c>
      <c r="I71">
        <v>3</v>
      </c>
      <c r="J71">
        <v>10</v>
      </c>
      <c r="K71">
        <v>5</v>
      </c>
    </row>
    <row r="72" spans="1:15" x14ac:dyDescent="0.35">
      <c r="A72">
        <v>82</v>
      </c>
      <c r="B72" t="s">
        <v>146</v>
      </c>
      <c r="C72">
        <v>250</v>
      </c>
      <c r="D72" t="s">
        <v>146</v>
      </c>
      <c r="E72">
        <v>8</v>
      </c>
      <c r="F72">
        <v>0.3</v>
      </c>
      <c r="G72">
        <v>5</v>
      </c>
      <c r="H72">
        <v>3</v>
      </c>
      <c r="I72">
        <v>2</v>
      </c>
      <c r="J72">
        <v>8</v>
      </c>
      <c r="K72">
        <v>30</v>
      </c>
    </row>
    <row r="75" spans="1:15" x14ac:dyDescent="0.35">
      <c r="I75" t="s">
        <v>152</v>
      </c>
      <c r="J75" t="s">
        <v>148</v>
      </c>
      <c r="K75" t="s">
        <v>149</v>
      </c>
      <c r="L75" t="s">
        <v>150</v>
      </c>
      <c r="M75" t="s">
        <v>153</v>
      </c>
      <c r="N75" t="s">
        <v>154</v>
      </c>
      <c r="O75" t="s">
        <v>147</v>
      </c>
    </row>
    <row r="76" spans="1:15" x14ac:dyDescent="0.35">
      <c r="I76">
        <f>COUNTIF(J2:J72, 8)</f>
        <v>10</v>
      </c>
      <c r="J76">
        <f>COUNTIF(J2:J72, 10)</f>
        <v>11</v>
      </c>
      <c r="K76">
        <f>COUNTIF(J2:J72, 11)</f>
        <v>10</v>
      </c>
      <c r="L76">
        <f>COUNTIF(J2:J72, 16)</f>
        <v>9</v>
      </c>
      <c r="M76">
        <f>COUNTIF(J2:J72, 2)</f>
        <v>13</v>
      </c>
      <c r="N76">
        <f>COUNTIF(J2:J72,3)</f>
        <v>10</v>
      </c>
      <c r="O76">
        <f>COUNTIF(J2:J72,9)</f>
        <v>8</v>
      </c>
    </row>
  </sheetData>
  <sortState xmlns:xlrd2="http://schemas.microsoft.com/office/spreadsheetml/2017/richdata2" ref="A2:K46">
    <sortCondition ref="A2:A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A6DF-9A41-48BC-AD35-24045B547822}">
  <dimension ref="A1:R44"/>
  <sheetViews>
    <sheetView tabSelected="1" topLeftCell="A7" workbookViewId="0">
      <selection activeCell="I20" sqref="I20"/>
    </sheetView>
  </sheetViews>
  <sheetFormatPr defaultRowHeight="14.5" x14ac:dyDescent="0.35"/>
  <cols>
    <col min="1" max="1" width="14.453125" bestFit="1" customWidth="1"/>
    <col min="2" max="2" width="11.453125" bestFit="1" customWidth="1"/>
    <col min="3" max="4" width="13.1796875" customWidth="1"/>
    <col min="9" max="9" width="10.08984375" customWidth="1"/>
    <col min="11" max="11" width="11.453125" bestFit="1" customWidth="1"/>
    <col min="14" max="14" width="11.1796875" bestFit="1" customWidth="1"/>
    <col min="17" max="17" width="12.08984375" bestFit="1" customWidth="1"/>
    <col min="21" max="21" width="12.08984375" bestFit="1" customWidth="1"/>
  </cols>
  <sheetData>
    <row r="1" spans="1:18" x14ac:dyDescent="0.35">
      <c r="C1" s="1" t="s">
        <v>107</v>
      </c>
      <c r="D1" s="1"/>
      <c r="E1" s="1" t="s">
        <v>108</v>
      </c>
    </row>
    <row r="2" spans="1:18" x14ac:dyDescent="0.35">
      <c r="B2" s="1" t="s">
        <v>0</v>
      </c>
      <c r="C2" s="1" t="s">
        <v>1</v>
      </c>
      <c r="D2" s="1" t="s">
        <v>2</v>
      </c>
      <c r="F2" t="s">
        <v>4</v>
      </c>
      <c r="G2" t="s">
        <v>5</v>
      </c>
      <c r="H2" t="s">
        <v>6</v>
      </c>
      <c r="I2" t="s">
        <v>7</v>
      </c>
    </row>
    <row r="3" spans="1:18" x14ac:dyDescent="0.35">
      <c r="B3">
        <v>5</v>
      </c>
      <c r="C3" t="s">
        <v>15</v>
      </c>
      <c r="D3">
        <v>75</v>
      </c>
      <c r="E3">
        <v>4</v>
      </c>
      <c r="F3">
        <v>0.8</v>
      </c>
      <c r="G3">
        <v>0.14000000000000001</v>
      </c>
      <c r="H3">
        <v>1.5</v>
      </c>
      <c r="I3">
        <v>0.2</v>
      </c>
    </row>
    <row r="4" spans="1:18" x14ac:dyDescent="0.35">
      <c r="B4">
        <v>19</v>
      </c>
      <c r="C4" t="s">
        <v>30</v>
      </c>
      <c r="D4">
        <v>23</v>
      </c>
      <c r="E4">
        <v>3</v>
      </c>
      <c r="F4">
        <v>0.4</v>
      </c>
      <c r="G4">
        <v>9.7000000000000003E-2</v>
      </c>
      <c r="H4">
        <v>0.4</v>
      </c>
      <c r="I4">
        <v>0.1</v>
      </c>
    </row>
    <row r="5" spans="1:18" x14ac:dyDescent="0.35">
      <c r="B5">
        <v>29</v>
      </c>
      <c r="C5" t="s">
        <v>41</v>
      </c>
      <c r="D5">
        <v>25</v>
      </c>
      <c r="E5">
        <v>2</v>
      </c>
      <c r="F5">
        <v>0.3</v>
      </c>
      <c r="G5">
        <v>0.03</v>
      </c>
      <c r="H5">
        <v>1.9</v>
      </c>
      <c r="I5">
        <v>0</v>
      </c>
    </row>
    <row r="6" spans="1:18" x14ac:dyDescent="0.35">
      <c r="B6">
        <v>2</v>
      </c>
      <c r="C6" t="s">
        <v>12</v>
      </c>
      <c r="D6">
        <v>78</v>
      </c>
      <c r="E6">
        <v>6</v>
      </c>
      <c r="F6">
        <v>3.4</v>
      </c>
      <c r="G6">
        <v>6.2E-2</v>
      </c>
      <c r="H6">
        <v>0.6</v>
      </c>
      <c r="I6">
        <v>1.6</v>
      </c>
    </row>
    <row r="7" spans="1:18" x14ac:dyDescent="0.35">
      <c r="B7">
        <v>18</v>
      </c>
      <c r="C7" t="s">
        <v>29</v>
      </c>
      <c r="D7">
        <v>34</v>
      </c>
      <c r="E7">
        <v>2</v>
      </c>
      <c r="F7">
        <v>0.4</v>
      </c>
      <c r="G7">
        <v>4.1000000000000002E-2</v>
      </c>
      <c r="H7">
        <v>1.7</v>
      </c>
      <c r="I7">
        <v>0.1</v>
      </c>
    </row>
    <row r="8" spans="1:18" x14ac:dyDescent="0.35">
      <c r="B8">
        <v>20</v>
      </c>
      <c r="C8" t="s">
        <v>31</v>
      </c>
      <c r="D8">
        <v>18</v>
      </c>
      <c r="E8">
        <v>2</v>
      </c>
      <c r="F8">
        <v>0.2</v>
      </c>
      <c r="G8">
        <v>5.0000000000000001E-3</v>
      </c>
      <c r="H8">
        <v>2.6</v>
      </c>
      <c r="I8">
        <v>0</v>
      </c>
    </row>
    <row r="9" spans="1:18" x14ac:dyDescent="0.35">
      <c r="B9">
        <v>25</v>
      </c>
      <c r="C9" t="s">
        <v>36</v>
      </c>
      <c r="D9">
        <v>17</v>
      </c>
      <c r="E9">
        <v>2</v>
      </c>
      <c r="F9">
        <v>0.2</v>
      </c>
      <c r="G9">
        <v>1E-3</v>
      </c>
      <c r="H9">
        <v>2.5</v>
      </c>
      <c r="I9">
        <v>0.1</v>
      </c>
    </row>
    <row r="10" spans="1:18" x14ac:dyDescent="0.35">
      <c r="B10">
        <v>10</v>
      </c>
      <c r="C10" t="s">
        <v>20</v>
      </c>
      <c r="D10">
        <v>45</v>
      </c>
      <c r="E10">
        <v>4</v>
      </c>
      <c r="F10">
        <v>2</v>
      </c>
      <c r="G10">
        <v>0.32</v>
      </c>
      <c r="H10">
        <v>0</v>
      </c>
      <c r="I10">
        <v>1</v>
      </c>
    </row>
    <row r="11" spans="1:18" x14ac:dyDescent="0.35">
      <c r="B11">
        <v>3</v>
      </c>
      <c r="C11" t="s">
        <v>13</v>
      </c>
      <c r="D11">
        <v>42</v>
      </c>
      <c r="E11">
        <v>3</v>
      </c>
      <c r="F11">
        <v>3</v>
      </c>
      <c r="G11">
        <v>4.3999999999999997E-2</v>
      </c>
      <c r="H11">
        <v>5</v>
      </c>
      <c r="I11">
        <v>0.6</v>
      </c>
    </row>
    <row r="12" spans="1:18" x14ac:dyDescent="0.35">
      <c r="B12">
        <v>1</v>
      </c>
      <c r="C12" t="s">
        <v>11</v>
      </c>
      <c r="D12">
        <v>30</v>
      </c>
      <c r="E12">
        <v>2</v>
      </c>
      <c r="F12">
        <v>0.2</v>
      </c>
      <c r="G12">
        <v>0.05</v>
      </c>
      <c r="H12">
        <v>3.4</v>
      </c>
      <c r="I12">
        <v>0</v>
      </c>
    </row>
    <row r="13" spans="1:18" x14ac:dyDescent="0.35">
      <c r="J13" s="6" t="s">
        <v>104</v>
      </c>
      <c r="K13" s="6"/>
      <c r="L13" s="6"/>
      <c r="M13" s="6" t="s">
        <v>105</v>
      </c>
      <c r="N13" s="6"/>
      <c r="O13" s="6"/>
      <c r="P13" s="6" t="s">
        <v>106</v>
      </c>
      <c r="Q13" s="6"/>
      <c r="R13" s="6"/>
    </row>
    <row r="14" spans="1:18" x14ac:dyDescent="0.35">
      <c r="A14" s="2" t="s">
        <v>124</v>
      </c>
      <c r="C14" s="1" t="s">
        <v>59</v>
      </c>
      <c r="D14" s="1"/>
      <c r="E14" s="1" t="s">
        <v>2</v>
      </c>
      <c r="F14" s="1" t="s">
        <v>60</v>
      </c>
      <c r="G14" s="1" t="s">
        <v>61</v>
      </c>
      <c r="H14" s="1" t="s">
        <v>62</v>
      </c>
      <c r="I14" s="1" t="s">
        <v>63</v>
      </c>
      <c r="J14" s="1" t="s">
        <v>0</v>
      </c>
      <c r="K14" s="1" t="s">
        <v>1</v>
      </c>
      <c r="L14" s="1" t="s">
        <v>2</v>
      </c>
      <c r="M14" s="1" t="s">
        <v>0</v>
      </c>
      <c r="N14" s="1" t="s">
        <v>1</v>
      </c>
      <c r="O14" s="1" t="s">
        <v>2</v>
      </c>
      <c r="P14" s="1" t="s">
        <v>0</v>
      </c>
      <c r="Q14" s="1" t="s">
        <v>1</v>
      </c>
      <c r="R14" s="1" t="s">
        <v>2</v>
      </c>
    </row>
    <row r="15" spans="1:18" x14ac:dyDescent="0.35">
      <c r="A15" s="7" t="s">
        <v>125</v>
      </c>
      <c r="B15" s="5" t="s">
        <v>64</v>
      </c>
      <c r="C15" t="s">
        <v>65</v>
      </c>
      <c r="E15">
        <v>500</v>
      </c>
      <c r="F15">
        <v>31</v>
      </c>
      <c r="G15">
        <v>3.3</v>
      </c>
      <c r="H15">
        <v>0.11</v>
      </c>
      <c r="I15">
        <v>5</v>
      </c>
      <c r="J15">
        <v>58</v>
      </c>
      <c r="K15" t="s">
        <v>114</v>
      </c>
      <c r="L15">
        <v>14</v>
      </c>
      <c r="M15">
        <v>30</v>
      </c>
      <c r="N15" t="s">
        <v>42</v>
      </c>
      <c r="O15">
        <v>30</v>
      </c>
      <c r="P15">
        <v>22</v>
      </c>
      <c r="Q15" t="s">
        <v>33</v>
      </c>
      <c r="R15">
        <v>89</v>
      </c>
    </row>
    <row r="16" spans="1:18" x14ac:dyDescent="0.35">
      <c r="A16" s="7"/>
      <c r="B16" s="5"/>
      <c r="C16" t="s">
        <v>66</v>
      </c>
      <c r="E16">
        <v>600</v>
      </c>
      <c r="F16">
        <v>30</v>
      </c>
      <c r="G16">
        <v>4</v>
      </c>
      <c r="H16">
        <v>0.37</v>
      </c>
      <c r="I16">
        <v>7</v>
      </c>
      <c r="J16">
        <v>33</v>
      </c>
      <c r="K16" t="s">
        <v>45</v>
      </c>
      <c r="L16">
        <v>17</v>
      </c>
      <c r="M16">
        <v>34</v>
      </c>
      <c r="N16" t="s">
        <v>46</v>
      </c>
      <c r="O16">
        <v>40</v>
      </c>
      <c r="P16">
        <v>51</v>
      </c>
      <c r="Q16" t="s">
        <v>109</v>
      </c>
      <c r="R16">
        <v>90</v>
      </c>
    </row>
    <row r="17" spans="1:18" x14ac:dyDescent="0.35">
      <c r="A17" s="7"/>
      <c r="B17" s="5"/>
      <c r="C17" t="s">
        <v>67</v>
      </c>
      <c r="E17">
        <v>800</v>
      </c>
      <c r="F17">
        <v>30</v>
      </c>
      <c r="G17">
        <v>5.3</v>
      </c>
      <c r="H17">
        <v>0.37</v>
      </c>
      <c r="I17">
        <v>8</v>
      </c>
      <c r="J17">
        <v>72</v>
      </c>
      <c r="K17" t="s">
        <v>135</v>
      </c>
      <c r="L17">
        <v>19</v>
      </c>
      <c r="M17">
        <v>59</v>
      </c>
      <c r="N17" t="s">
        <v>115</v>
      </c>
      <c r="O17">
        <v>45</v>
      </c>
      <c r="P17">
        <v>80</v>
      </c>
      <c r="Q17" t="s">
        <v>144</v>
      </c>
      <c r="R17">
        <v>90</v>
      </c>
    </row>
    <row r="18" spans="1:18" x14ac:dyDescent="0.35">
      <c r="A18" s="7" t="s">
        <v>123</v>
      </c>
      <c r="B18" s="5" t="s">
        <v>68</v>
      </c>
      <c r="C18" t="s">
        <v>69</v>
      </c>
      <c r="E18">
        <v>1000</v>
      </c>
      <c r="F18">
        <v>34</v>
      </c>
      <c r="G18">
        <v>6.67</v>
      </c>
      <c r="H18">
        <v>0.8</v>
      </c>
      <c r="I18">
        <v>17</v>
      </c>
      <c r="J18">
        <v>64</v>
      </c>
      <c r="K18" t="s">
        <v>120</v>
      </c>
      <c r="L18">
        <v>22</v>
      </c>
      <c r="M18">
        <v>52</v>
      </c>
      <c r="N18" t="s">
        <v>110</v>
      </c>
      <c r="O18">
        <v>46</v>
      </c>
      <c r="P18">
        <v>12</v>
      </c>
      <c r="Q18" t="s">
        <v>22</v>
      </c>
      <c r="R18">
        <v>100</v>
      </c>
    </row>
    <row r="19" spans="1:18" x14ac:dyDescent="0.35">
      <c r="A19" s="7"/>
      <c r="B19" s="5"/>
      <c r="C19" t="s">
        <v>70</v>
      </c>
      <c r="E19">
        <v>1100</v>
      </c>
      <c r="F19">
        <v>37</v>
      </c>
      <c r="G19">
        <v>7.33</v>
      </c>
      <c r="H19">
        <v>0.8</v>
      </c>
      <c r="I19">
        <v>20</v>
      </c>
      <c r="J19">
        <v>62</v>
      </c>
      <c r="K19" t="s">
        <v>118</v>
      </c>
      <c r="L19">
        <v>25</v>
      </c>
      <c r="M19">
        <v>27</v>
      </c>
      <c r="N19" t="s">
        <v>39</v>
      </c>
      <c r="O19">
        <v>52</v>
      </c>
      <c r="P19">
        <v>8</v>
      </c>
      <c r="Q19" t="s">
        <v>19</v>
      </c>
      <c r="R19">
        <v>112</v>
      </c>
    </row>
    <row r="20" spans="1:18" x14ac:dyDescent="0.35">
      <c r="A20" s="7"/>
      <c r="B20" s="5"/>
      <c r="C20" t="s">
        <v>71</v>
      </c>
      <c r="E20">
        <v>1200</v>
      </c>
      <c r="F20">
        <v>39</v>
      </c>
      <c r="G20">
        <v>8</v>
      </c>
      <c r="H20">
        <v>0.8</v>
      </c>
      <c r="I20">
        <v>23</v>
      </c>
      <c r="J20">
        <v>66</v>
      </c>
      <c r="K20" t="s">
        <v>122</v>
      </c>
      <c r="L20">
        <v>25</v>
      </c>
      <c r="M20">
        <v>49</v>
      </c>
      <c r="N20" t="s">
        <v>57</v>
      </c>
      <c r="O20">
        <v>56</v>
      </c>
      <c r="P20">
        <v>32</v>
      </c>
      <c r="Q20" t="s">
        <v>44</v>
      </c>
      <c r="R20">
        <v>115</v>
      </c>
    </row>
    <row r="21" spans="1:18" x14ac:dyDescent="0.35">
      <c r="A21" s="7" t="s">
        <v>126</v>
      </c>
      <c r="B21" s="5" t="s">
        <v>72</v>
      </c>
      <c r="C21" t="s">
        <v>73</v>
      </c>
      <c r="E21">
        <v>1400</v>
      </c>
      <c r="F21">
        <v>39</v>
      </c>
      <c r="G21">
        <v>9.33</v>
      </c>
      <c r="H21">
        <v>1</v>
      </c>
      <c r="I21">
        <v>26</v>
      </c>
      <c r="J21">
        <v>24</v>
      </c>
      <c r="K21" t="s">
        <v>35</v>
      </c>
      <c r="L21">
        <v>30</v>
      </c>
      <c r="M21">
        <v>60</v>
      </c>
      <c r="N21" t="s">
        <v>116</v>
      </c>
      <c r="O21">
        <v>60</v>
      </c>
      <c r="P21">
        <v>14</v>
      </c>
      <c r="Q21" t="s">
        <v>25</v>
      </c>
      <c r="R21">
        <v>116</v>
      </c>
    </row>
    <row r="22" spans="1:18" x14ac:dyDescent="0.35">
      <c r="A22" s="7"/>
      <c r="B22" s="5"/>
      <c r="C22" t="s">
        <v>74</v>
      </c>
      <c r="E22">
        <v>1600</v>
      </c>
      <c r="F22">
        <v>45</v>
      </c>
      <c r="G22">
        <v>10.67</v>
      </c>
      <c r="H22">
        <v>1</v>
      </c>
      <c r="I22">
        <v>30</v>
      </c>
      <c r="J22">
        <v>71</v>
      </c>
      <c r="K22" t="s">
        <v>134</v>
      </c>
      <c r="L22">
        <v>30</v>
      </c>
      <c r="M22">
        <v>35</v>
      </c>
      <c r="N22" t="s">
        <v>47</v>
      </c>
      <c r="O22">
        <v>60</v>
      </c>
      <c r="P22">
        <v>40</v>
      </c>
      <c r="Q22" t="s">
        <v>51</v>
      </c>
      <c r="R22">
        <v>119</v>
      </c>
    </row>
    <row r="23" spans="1:18" x14ac:dyDescent="0.35">
      <c r="A23" s="7"/>
      <c r="B23" s="5"/>
      <c r="C23" t="s">
        <v>75</v>
      </c>
      <c r="E23">
        <v>1900</v>
      </c>
      <c r="F23">
        <v>53</v>
      </c>
      <c r="G23">
        <v>12.67</v>
      </c>
      <c r="H23">
        <v>1.2</v>
      </c>
      <c r="I23">
        <v>33</v>
      </c>
      <c r="J23">
        <v>65</v>
      </c>
      <c r="K23" t="s">
        <v>121</v>
      </c>
      <c r="L23">
        <v>30</v>
      </c>
      <c r="M23">
        <v>61</v>
      </c>
      <c r="N23" t="s">
        <v>117</v>
      </c>
      <c r="O23">
        <v>64</v>
      </c>
      <c r="P23">
        <v>41</v>
      </c>
      <c r="Q23" t="s">
        <v>52</v>
      </c>
      <c r="R23">
        <v>120</v>
      </c>
    </row>
    <row r="24" spans="1:18" x14ac:dyDescent="0.35">
      <c r="A24" s="7" t="s">
        <v>127</v>
      </c>
      <c r="B24" s="5" t="s">
        <v>76</v>
      </c>
      <c r="C24" t="s">
        <v>77</v>
      </c>
      <c r="E24">
        <v>2600</v>
      </c>
      <c r="F24">
        <v>74</v>
      </c>
      <c r="G24">
        <v>17.329999999999998</v>
      </c>
      <c r="H24">
        <v>1.2</v>
      </c>
      <c r="I24">
        <v>40</v>
      </c>
      <c r="J24">
        <v>45</v>
      </c>
      <c r="K24" t="s">
        <v>55</v>
      </c>
      <c r="L24">
        <v>32</v>
      </c>
      <c r="M24">
        <v>56</v>
      </c>
      <c r="N24" t="s">
        <v>112</v>
      </c>
      <c r="O24">
        <v>64</v>
      </c>
      <c r="P24">
        <v>69</v>
      </c>
      <c r="Q24" t="s">
        <v>133</v>
      </c>
      <c r="R24">
        <v>125</v>
      </c>
    </row>
    <row r="25" spans="1:18" x14ac:dyDescent="0.35">
      <c r="A25" s="7"/>
      <c r="B25" s="5"/>
      <c r="C25" t="s">
        <v>78</v>
      </c>
      <c r="E25">
        <v>3000</v>
      </c>
      <c r="F25">
        <v>84</v>
      </c>
      <c r="G25">
        <v>20</v>
      </c>
      <c r="H25">
        <v>1.5</v>
      </c>
      <c r="I25">
        <v>41</v>
      </c>
      <c r="J25">
        <v>63</v>
      </c>
      <c r="K25" t="s">
        <v>119</v>
      </c>
      <c r="L25">
        <v>35</v>
      </c>
      <c r="M25">
        <v>43</v>
      </c>
      <c r="N25" t="s">
        <v>54</v>
      </c>
      <c r="O25">
        <v>68</v>
      </c>
      <c r="P25">
        <v>53</v>
      </c>
      <c r="Q25" t="s">
        <v>111</v>
      </c>
      <c r="R25">
        <v>125</v>
      </c>
    </row>
    <row r="26" spans="1:18" x14ac:dyDescent="0.35">
      <c r="A26" s="7"/>
      <c r="B26" s="5"/>
      <c r="C26" t="s">
        <v>79</v>
      </c>
      <c r="E26">
        <v>3200</v>
      </c>
      <c r="F26">
        <v>88</v>
      </c>
      <c r="G26">
        <v>21.33</v>
      </c>
      <c r="H26">
        <v>1.5</v>
      </c>
      <c r="I26">
        <v>50</v>
      </c>
      <c r="J26">
        <v>73</v>
      </c>
      <c r="K26" t="s">
        <v>136</v>
      </c>
      <c r="L26">
        <v>38</v>
      </c>
      <c r="M26">
        <v>39</v>
      </c>
      <c r="N26" t="s">
        <v>50</v>
      </c>
      <c r="O26">
        <v>73</v>
      </c>
      <c r="P26">
        <v>26</v>
      </c>
      <c r="Q26" t="s">
        <v>37</v>
      </c>
      <c r="R26">
        <v>127</v>
      </c>
    </row>
    <row r="27" spans="1:18" x14ac:dyDescent="0.35">
      <c r="A27" s="7" t="s">
        <v>129</v>
      </c>
      <c r="B27" s="5" t="s">
        <v>80</v>
      </c>
      <c r="C27" t="s">
        <v>81</v>
      </c>
      <c r="E27">
        <v>3000</v>
      </c>
      <c r="F27">
        <v>66</v>
      </c>
      <c r="G27">
        <v>20</v>
      </c>
      <c r="H27">
        <v>1.5</v>
      </c>
      <c r="I27">
        <v>46</v>
      </c>
      <c r="J27">
        <v>28</v>
      </c>
      <c r="K27" t="s">
        <v>40</v>
      </c>
      <c r="L27">
        <v>39</v>
      </c>
      <c r="M27">
        <v>57</v>
      </c>
      <c r="N27" t="s">
        <v>113</v>
      </c>
      <c r="O27">
        <v>74</v>
      </c>
      <c r="P27">
        <v>11</v>
      </c>
      <c r="Q27" t="s">
        <v>21</v>
      </c>
      <c r="R27">
        <v>130</v>
      </c>
    </row>
    <row r="28" spans="1:18" x14ac:dyDescent="0.35">
      <c r="A28" s="7"/>
      <c r="B28" s="5"/>
      <c r="C28" t="s">
        <v>82</v>
      </c>
      <c r="E28">
        <v>2900</v>
      </c>
      <c r="F28">
        <v>65</v>
      </c>
      <c r="G28">
        <v>19.329999999999998</v>
      </c>
      <c r="H28">
        <v>1.5</v>
      </c>
      <c r="I28">
        <v>45</v>
      </c>
      <c r="J28">
        <v>34</v>
      </c>
      <c r="K28" t="s">
        <v>46</v>
      </c>
      <c r="L28">
        <v>40</v>
      </c>
      <c r="M28">
        <v>42</v>
      </c>
      <c r="N28" t="s">
        <v>53</v>
      </c>
      <c r="O28">
        <v>75</v>
      </c>
      <c r="P28">
        <v>79</v>
      </c>
      <c r="Q28" t="s">
        <v>142</v>
      </c>
      <c r="R28">
        <v>135</v>
      </c>
    </row>
    <row r="29" spans="1:18" x14ac:dyDescent="0.35">
      <c r="A29" s="7"/>
      <c r="B29" s="5"/>
      <c r="C29" t="s">
        <v>83</v>
      </c>
      <c r="E29">
        <v>2900</v>
      </c>
      <c r="F29">
        <v>65</v>
      </c>
      <c r="G29">
        <v>19.329999999999998</v>
      </c>
      <c r="H29">
        <v>1.5</v>
      </c>
      <c r="I29">
        <v>45</v>
      </c>
      <c r="J29">
        <v>59</v>
      </c>
      <c r="K29" t="s">
        <v>115</v>
      </c>
      <c r="L29">
        <v>45</v>
      </c>
      <c r="M29">
        <v>50</v>
      </c>
      <c r="N29" t="s">
        <v>58</v>
      </c>
      <c r="O29">
        <v>80</v>
      </c>
      <c r="P29">
        <v>77</v>
      </c>
      <c r="Q29" t="s">
        <v>141</v>
      </c>
      <c r="R29">
        <v>140</v>
      </c>
    </row>
    <row r="30" spans="1:18" x14ac:dyDescent="0.35">
      <c r="A30" s="7" t="s">
        <v>128</v>
      </c>
      <c r="B30" s="5" t="s">
        <v>84</v>
      </c>
      <c r="C30" t="s">
        <v>85</v>
      </c>
      <c r="E30">
        <v>2800</v>
      </c>
      <c r="F30">
        <v>64</v>
      </c>
      <c r="G30">
        <v>18.670000000000002</v>
      </c>
      <c r="H30">
        <v>1.5</v>
      </c>
      <c r="I30">
        <v>43</v>
      </c>
      <c r="J30">
        <v>10</v>
      </c>
      <c r="K30" t="s">
        <v>20</v>
      </c>
      <c r="L30">
        <v>45</v>
      </c>
      <c r="M30">
        <v>81</v>
      </c>
      <c r="N30" t="s">
        <v>145</v>
      </c>
      <c r="O30">
        <v>80</v>
      </c>
      <c r="P30">
        <v>37</v>
      </c>
      <c r="Q30" t="s">
        <v>49</v>
      </c>
      <c r="R30">
        <v>150</v>
      </c>
    </row>
    <row r="31" spans="1:18" x14ac:dyDescent="0.35">
      <c r="A31" s="7"/>
      <c r="B31" s="5"/>
      <c r="C31" t="s">
        <v>86</v>
      </c>
      <c r="E31">
        <v>2800</v>
      </c>
      <c r="F31">
        <v>63</v>
      </c>
      <c r="G31">
        <v>18.670000000000002</v>
      </c>
      <c r="H31">
        <v>1.5</v>
      </c>
      <c r="I31">
        <v>43</v>
      </c>
      <c r="J31">
        <v>52</v>
      </c>
      <c r="K31" t="s">
        <v>110</v>
      </c>
      <c r="L31">
        <v>46</v>
      </c>
      <c r="M31">
        <v>15</v>
      </c>
      <c r="N31" t="s">
        <v>26</v>
      </c>
      <c r="O31">
        <v>84</v>
      </c>
      <c r="P31">
        <v>6</v>
      </c>
      <c r="Q31" t="s">
        <v>17</v>
      </c>
      <c r="R31">
        <v>158</v>
      </c>
    </row>
    <row r="32" spans="1:18" x14ac:dyDescent="0.35">
      <c r="A32" s="7"/>
      <c r="B32" s="5"/>
      <c r="C32" t="s">
        <v>87</v>
      </c>
      <c r="E32">
        <v>2700</v>
      </c>
      <c r="F32">
        <v>62</v>
      </c>
      <c r="G32">
        <v>18</v>
      </c>
      <c r="H32">
        <v>1.5</v>
      </c>
      <c r="I32">
        <v>40</v>
      </c>
      <c r="J32">
        <v>27</v>
      </c>
      <c r="K32" t="s">
        <v>39</v>
      </c>
      <c r="L32">
        <v>52</v>
      </c>
      <c r="M32">
        <v>67</v>
      </c>
      <c r="N32" t="s">
        <v>132</v>
      </c>
      <c r="O32">
        <v>87</v>
      </c>
      <c r="P32">
        <v>13</v>
      </c>
      <c r="Q32" t="s">
        <v>23</v>
      </c>
      <c r="R32">
        <v>160</v>
      </c>
    </row>
    <row r="33" spans="1:18" x14ac:dyDescent="0.35">
      <c r="A33" s="7" t="s">
        <v>151</v>
      </c>
      <c r="B33" s="4" t="s">
        <v>88</v>
      </c>
      <c r="C33" t="s">
        <v>89</v>
      </c>
      <c r="E33">
        <v>2700</v>
      </c>
      <c r="F33">
        <v>61</v>
      </c>
      <c r="G33">
        <v>18</v>
      </c>
      <c r="H33">
        <v>1.5</v>
      </c>
      <c r="I33">
        <v>40</v>
      </c>
      <c r="J33">
        <v>49</v>
      </c>
      <c r="K33" t="s">
        <v>57</v>
      </c>
      <c r="L33">
        <v>56</v>
      </c>
      <c r="M33">
        <v>22</v>
      </c>
      <c r="N33" t="s">
        <v>33</v>
      </c>
      <c r="O33">
        <v>89</v>
      </c>
      <c r="P33">
        <v>23</v>
      </c>
      <c r="Q33" t="s">
        <v>34</v>
      </c>
      <c r="R33">
        <v>160</v>
      </c>
    </row>
    <row r="34" spans="1:18" x14ac:dyDescent="0.35">
      <c r="A34" s="7"/>
      <c r="B34" s="4"/>
      <c r="C34" t="s">
        <v>90</v>
      </c>
      <c r="E34">
        <v>2600</v>
      </c>
      <c r="F34">
        <v>59</v>
      </c>
      <c r="G34">
        <v>17.329999999999998</v>
      </c>
      <c r="H34">
        <v>1.5</v>
      </c>
      <c r="I34">
        <v>38</v>
      </c>
      <c r="J34">
        <v>60</v>
      </c>
      <c r="K34" t="s">
        <v>116</v>
      </c>
      <c r="L34">
        <v>60</v>
      </c>
      <c r="M34">
        <v>51</v>
      </c>
      <c r="N34" t="s">
        <v>109</v>
      </c>
      <c r="O34">
        <v>90</v>
      </c>
      <c r="P34">
        <v>21</v>
      </c>
      <c r="Q34" t="s">
        <v>32</v>
      </c>
      <c r="R34">
        <v>164</v>
      </c>
    </row>
    <row r="35" spans="1:18" x14ac:dyDescent="0.35">
      <c r="A35" s="7"/>
      <c r="B35" s="4"/>
      <c r="C35" t="s">
        <v>91</v>
      </c>
      <c r="E35">
        <v>2500</v>
      </c>
      <c r="F35">
        <v>56</v>
      </c>
      <c r="G35">
        <v>16.670000000000002</v>
      </c>
      <c r="H35">
        <v>1.5</v>
      </c>
      <c r="I35">
        <v>36</v>
      </c>
      <c r="J35">
        <v>35</v>
      </c>
      <c r="K35" t="s">
        <v>47</v>
      </c>
      <c r="L35">
        <v>60</v>
      </c>
      <c r="M35">
        <v>80</v>
      </c>
      <c r="N35" t="s">
        <v>144</v>
      </c>
      <c r="O35">
        <v>90</v>
      </c>
      <c r="P35">
        <v>4</v>
      </c>
      <c r="Q35" t="s">
        <v>14</v>
      </c>
      <c r="R35">
        <v>165</v>
      </c>
    </row>
    <row r="36" spans="1:18" x14ac:dyDescent="0.35">
      <c r="A36" s="7" t="s">
        <v>130</v>
      </c>
      <c r="B36" s="5" t="s">
        <v>92</v>
      </c>
      <c r="C36" t="s">
        <v>93</v>
      </c>
      <c r="E36">
        <v>2500</v>
      </c>
      <c r="F36">
        <v>55</v>
      </c>
      <c r="G36">
        <v>16.670000000000002</v>
      </c>
      <c r="H36">
        <v>1.5</v>
      </c>
      <c r="I36">
        <v>36</v>
      </c>
      <c r="J36">
        <v>61</v>
      </c>
      <c r="K36" t="s">
        <v>117</v>
      </c>
      <c r="L36">
        <v>64</v>
      </c>
      <c r="M36">
        <v>12</v>
      </c>
      <c r="N36" t="s">
        <v>22</v>
      </c>
      <c r="O36">
        <v>100</v>
      </c>
      <c r="P36">
        <v>36</v>
      </c>
      <c r="Q36" t="s">
        <v>48</v>
      </c>
      <c r="R36">
        <v>180</v>
      </c>
    </row>
    <row r="37" spans="1:18" x14ac:dyDescent="0.35">
      <c r="A37" s="7"/>
      <c r="B37" s="5"/>
      <c r="C37" t="s">
        <v>94</v>
      </c>
      <c r="E37">
        <v>2400</v>
      </c>
      <c r="F37">
        <v>54</v>
      </c>
      <c r="G37">
        <v>16</v>
      </c>
      <c r="H37">
        <v>1.5</v>
      </c>
      <c r="I37">
        <v>33</v>
      </c>
      <c r="J37">
        <v>56</v>
      </c>
      <c r="K37" t="s">
        <v>112</v>
      </c>
      <c r="L37">
        <v>64</v>
      </c>
      <c r="M37">
        <v>8</v>
      </c>
      <c r="N37" t="s">
        <v>19</v>
      </c>
      <c r="O37">
        <v>112</v>
      </c>
      <c r="P37">
        <v>75</v>
      </c>
      <c r="Q37" t="s">
        <v>138</v>
      </c>
      <c r="R37">
        <v>200</v>
      </c>
    </row>
    <row r="38" spans="1:18" s="3" customFormat="1" x14ac:dyDescent="0.35">
      <c r="A38" s="7"/>
      <c r="B38" s="5"/>
      <c r="C38" s="3" t="s">
        <v>95</v>
      </c>
      <c r="E38" s="3">
        <v>2300</v>
      </c>
      <c r="F38" s="3">
        <v>53</v>
      </c>
      <c r="G38" s="3">
        <v>15.33</v>
      </c>
      <c r="H38" s="3">
        <v>1.5</v>
      </c>
      <c r="I38" s="3">
        <v>31</v>
      </c>
      <c r="J38" s="3">
        <v>43</v>
      </c>
      <c r="K38" s="3" t="s">
        <v>54</v>
      </c>
      <c r="L38" s="3">
        <v>68</v>
      </c>
      <c r="M38" s="3">
        <v>32</v>
      </c>
      <c r="N38" s="3" t="s">
        <v>44</v>
      </c>
      <c r="O38" s="3">
        <v>115</v>
      </c>
      <c r="P38" s="3">
        <v>7</v>
      </c>
      <c r="Q38" s="3" t="s">
        <v>18</v>
      </c>
      <c r="R38" s="3">
        <v>206</v>
      </c>
    </row>
    <row r="39" spans="1:18" x14ac:dyDescent="0.35">
      <c r="A39" s="7" t="s">
        <v>131</v>
      </c>
      <c r="B39" s="5" t="s">
        <v>96</v>
      </c>
      <c r="C39" t="s">
        <v>97</v>
      </c>
      <c r="E39">
        <v>2300</v>
      </c>
      <c r="F39">
        <v>52</v>
      </c>
      <c r="G39">
        <v>15.33</v>
      </c>
      <c r="H39">
        <v>1.5</v>
      </c>
      <c r="I39">
        <v>29</v>
      </c>
      <c r="J39">
        <v>39</v>
      </c>
      <c r="K39" t="s">
        <v>50</v>
      </c>
      <c r="L39">
        <v>73</v>
      </c>
      <c r="M39">
        <v>14</v>
      </c>
      <c r="N39" t="s">
        <v>25</v>
      </c>
      <c r="O39">
        <v>116</v>
      </c>
      <c r="P39">
        <v>31</v>
      </c>
      <c r="Q39" t="s">
        <v>43</v>
      </c>
      <c r="R39">
        <v>208</v>
      </c>
    </row>
    <row r="40" spans="1:18" x14ac:dyDescent="0.35">
      <c r="A40" s="7"/>
      <c r="B40" s="5"/>
      <c r="C40" t="s">
        <v>98</v>
      </c>
      <c r="E40">
        <v>2200</v>
      </c>
      <c r="F40">
        <v>51</v>
      </c>
      <c r="G40">
        <v>14.67</v>
      </c>
      <c r="H40">
        <v>1.5</v>
      </c>
      <c r="I40">
        <v>28</v>
      </c>
      <c r="J40">
        <v>57</v>
      </c>
      <c r="K40" t="s">
        <v>113</v>
      </c>
      <c r="L40">
        <v>74</v>
      </c>
      <c r="M40">
        <v>40</v>
      </c>
      <c r="N40" t="s">
        <v>51</v>
      </c>
      <c r="O40">
        <v>119</v>
      </c>
      <c r="P40">
        <v>17</v>
      </c>
      <c r="Q40" t="s">
        <v>28</v>
      </c>
      <c r="R40">
        <v>242</v>
      </c>
    </row>
    <row r="41" spans="1:18" x14ac:dyDescent="0.35">
      <c r="A41" s="7"/>
      <c r="B41" s="5"/>
      <c r="C41" t="s">
        <v>99</v>
      </c>
      <c r="E41">
        <v>2200</v>
      </c>
      <c r="F41">
        <v>50</v>
      </c>
      <c r="G41">
        <v>14.67</v>
      </c>
      <c r="H41">
        <v>1.5</v>
      </c>
      <c r="I41">
        <v>28</v>
      </c>
      <c r="J41">
        <v>42</v>
      </c>
      <c r="K41" t="s">
        <v>53</v>
      </c>
      <c r="L41">
        <v>75</v>
      </c>
      <c r="M41">
        <v>41</v>
      </c>
      <c r="N41" t="s">
        <v>52</v>
      </c>
      <c r="O41">
        <v>120</v>
      </c>
      <c r="P41">
        <v>82</v>
      </c>
      <c r="Q41" t="s">
        <v>146</v>
      </c>
      <c r="R41">
        <v>250</v>
      </c>
    </row>
    <row r="42" spans="1:18" x14ac:dyDescent="0.35">
      <c r="A42" s="7" t="s">
        <v>155</v>
      </c>
      <c r="B42" s="5" t="s">
        <v>100</v>
      </c>
      <c r="C42" t="s">
        <v>101</v>
      </c>
      <c r="E42">
        <v>2100</v>
      </c>
      <c r="F42">
        <v>49</v>
      </c>
      <c r="G42">
        <v>14</v>
      </c>
      <c r="H42">
        <v>1.5</v>
      </c>
      <c r="I42">
        <v>26</v>
      </c>
      <c r="J42">
        <v>50</v>
      </c>
      <c r="K42" t="s">
        <v>58</v>
      </c>
      <c r="L42">
        <v>80</v>
      </c>
      <c r="M42">
        <v>69</v>
      </c>
      <c r="N42" t="s">
        <v>133</v>
      </c>
      <c r="O42">
        <v>125</v>
      </c>
      <c r="P42">
        <v>16</v>
      </c>
      <c r="Q42" t="s">
        <v>27</v>
      </c>
      <c r="R42">
        <v>250</v>
      </c>
    </row>
    <row r="43" spans="1:18" x14ac:dyDescent="0.35">
      <c r="A43" s="7"/>
      <c r="B43" s="5"/>
      <c r="C43" t="s">
        <v>102</v>
      </c>
      <c r="E43">
        <v>2100</v>
      </c>
      <c r="F43">
        <v>48</v>
      </c>
      <c r="G43">
        <v>14</v>
      </c>
      <c r="H43">
        <v>1.5</v>
      </c>
      <c r="I43">
        <v>26</v>
      </c>
      <c r="J43">
        <v>81</v>
      </c>
      <c r="K43" t="s">
        <v>145</v>
      </c>
      <c r="L43">
        <v>80</v>
      </c>
      <c r="M43">
        <v>53</v>
      </c>
      <c r="N43" t="s">
        <v>111</v>
      </c>
      <c r="O43">
        <v>125</v>
      </c>
      <c r="P43">
        <v>46</v>
      </c>
      <c r="Q43" t="s">
        <v>56</v>
      </c>
      <c r="R43">
        <v>250</v>
      </c>
    </row>
    <row r="44" spans="1:18" x14ac:dyDescent="0.35">
      <c r="A44" s="7"/>
      <c r="B44" s="5"/>
      <c r="C44" t="s">
        <v>103</v>
      </c>
      <c r="E44">
        <v>2000</v>
      </c>
      <c r="F44">
        <v>47</v>
      </c>
      <c r="G44">
        <v>13.33</v>
      </c>
      <c r="H44">
        <v>1.5</v>
      </c>
      <c r="I44">
        <v>26</v>
      </c>
      <c r="J44">
        <v>15</v>
      </c>
      <c r="K44" t="s">
        <v>26</v>
      </c>
      <c r="L44">
        <v>84</v>
      </c>
      <c r="M44">
        <v>26</v>
      </c>
      <c r="N44" t="s">
        <v>37</v>
      </c>
      <c r="O44">
        <v>127</v>
      </c>
      <c r="P44">
        <v>76</v>
      </c>
      <c r="Q44" t="s">
        <v>139</v>
      </c>
      <c r="R44">
        <v>312</v>
      </c>
    </row>
  </sheetData>
  <mergeCells count="23">
    <mergeCell ref="A39:A41"/>
    <mergeCell ref="A42:A44"/>
    <mergeCell ref="A21:A23"/>
    <mergeCell ref="A24:A26"/>
    <mergeCell ref="A27:A29"/>
    <mergeCell ref="A30:A32"/>
    <mergeCell ref="A33:A35"/>
    <mergeCell ref="A36:A38"/>
    <mergeCell ref="J13:L13"/>
    <mergeCell ref="M13:O13"/>
    <mergeCell ref="P13:R13"/>
    <mergeCell ref="A15:A17"/>
    <mergeCell ref="A18:A20"/>
    <mergeCell ref="B33:B35"/>
    <mergeCell ref="B36:B38"/>
    <mergeCell ref="B39:B41"/>
    <mergeCell ref="B42:B44"/>
    <mergeCell ref="B15:B17"/>
    <mergeCell ref="B18:B20"/>
    <mergeCell ref="B21:B23"/>
    <mergeCell ref="B24:B26"/>
    <mergeCell ref="B27:B29"/>
    <mergeCell ref="B30:B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</vt:lpstr>
      <vt:lpstr>Progression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Picão</dc:creator>
  <cp:lastModifiedBy>Tiago Picão</cp:lastModifiedBy>
  <dcterms:created xsi:type="dcterms:W3CDTF">2026-08-10T13:51:10Z</dcterms:created>
  <dcterms:modified xsi:type="dcterms:W3CDTF">2026-09-01T18:22:16Z</dcterms:modified>
</cp:coreProperties>
</file>